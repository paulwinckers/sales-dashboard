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ul Winckers\Desktop\"/>
    </mc:Choice>
  </mc:AlternateContent>
  <xr:revisionPtr revIDLastSave="0" documentId="8_{2CC0E52C-06DE-451E-8012-741D3B4EC4AA}" xr6:coauthVersionLast="47" xr6:coauthVersionMax="47" xr10:uidLastSave="{00000000-0000-0000-0000-000000000000}"/>
  <bookViews>
    <workbookView xWindow="-108" yWindow="-108" windowWidth="23256" windowHeight="12456" xr2:uid="{A4288D07-2D0B-40CA-A5F1-C602EFC5A5C9}"/>
  </bookViews>
  <sheets>
    <sheet name="Calendar" sheetId="1" r:id="rId1"/>
    <sheet name="target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 a="1"/>
  <c r="F2" i="1"/>
  <c r="F3" i="1" a="1"/>
  <c r="F3" i="1"/>
  <c r="F4" i="1" a="1"/>
  <c r="F4" i="1"/>
  <c r="F5" i="1" a="1"/>
  <c r="F5" i="1" s="1"/>
  <c r="F6" i="1" a="1"/>
  <c r="F6" i="1" s="1"/>
  <c r="F7" i="1" a="1"/>
  <c r="F7" i="1" s="1"/>
  <c r="F8" i="1" a="1"/>
  <c r="F8" i="1"/>
  <c r="F9" i="1" a="1"/>
  <c r="F9" i="1"/>
  <c r="F10" i="1" a="1"/>
  <c r="F10" i="1"/>
  <c r="F11" i="1" a="1"/>
  <c r="F11" i="1"/>
  <c r="F12" i="1" a="1"/>
  <c r="F12" i="1"/>
  <c r="F13" i="1" a="1"/>
  <c r="F13" i="1" s="1"/>
  <c r="F14" i="1" a="1"/>
  <c r="F14" i="1" s="1"/>
  <c r="F15" i="1" a="1"/>
  <c r="F15" i="1" s="1"/>
  <c r="F16" i="1" a="1"/>
  <c r="F16" i="1"/>
  <c r="F17" i="1" a="1"/>
  <c r="F17" i="1"/>
  <c r="F18" i="1" a="1"/>
  <c r="F18" i="1"/>
  <c r="F19" i="1" a="1"/>
  <c r="F19" i="1"/>
  <c r="F20" i="1" a="1"/>
  <c r="F20" i="1"/>
  <c r="F21" i="1" a="1"/>
  <c r="F21" i="1" s="1"/>
  <c r="F22" i="1" a="1"/>
  <c r="F22" i="1" s="1"/>
  <c r="F23" i="1" a="1"/>
  <c r="F23" i="1" s="1"/>
  <c r="F24" i="1" a="1"/>
  <c r="F24" i="1"/>
  <c r="F25" i="1" a="1"/>
  <c r="F25" i="1"/>
  <c r="F26" i="1" a="1"/>
  <c r="F26" i="1"/>
  <c r="F27" i="1" a="1"/>
  <c r="F27" i="1"/>
  <c r="F28" i="1" a="1"/>
  <c r="F28" i="1"/>
  <c r="F29" i="1" a="1"/>
  <c r="F29" i="1" s="1"/>
  <c r="F30" i="1" a="1"/>
  <c r="F30" i="1" s="1"/>
  <c r="F31" i="1" a="1"/>
  <c r="F31" i="1" s="1"/>
  <c r="F32" i="1" a="1"/>
  <c r="F32" i="1"/>
  <c r="F33" i="1" a="1"/>
  <c r="F33" i="1"/>
  <c r="F34" i="1" a="1"/>
  <c r="F34" i="1"/>
  <c r="F35" i="1" a="1"/>
  <c r="F35" i="1"/>
  <c r="F36" i="1" a="1"/>
  <c r="F36" i="1"/>
  <c r="F37" i="1" a="1"/>
  <c r="F37" i="1" s="1"/>
  <c r="F38" i="1" a="1"/>
  <c r="F38" i="1" s="1"/>
  <c r="F39" i="1" a="1"/>
  <c r="F39" i="1" s="1"/>
  <c r="F40" i="1" a="1"/>
  <c r="F40" i="1"/>
  <c r="F41" i="1" a="1"/>
  <c r="F41" i="1"/>
  <c r="F42" i="1" a="1"/>
  <c r="F42" i="1"/>
  <c r="F43" i="1" a="1"/>
  <c r="F43" i="1"/>
  <c r="F44" i="1" a="1"/>
  <c r="F44" i="1"/>
  <c r="F45" i="1" a="1"/>
  <c r="F45" i="1" s="1"/>
  <c r="F46" i="1" a="1"/>
  <c r="F46" i="1" s="1"/>
  <c r="F47" i="1" a="1"/>
  <c r="F47" i="1" s="1"/>
  <c r="F48" i="1" a="1"/>
  <c r="F48" i="1"/>
  <c r="F49" i="1" a="1"/>
  <c r="F49" i="1"/>
  <c r="F50" i="1" a="1"/>
  <c r="F50" i="1"/>
  <c r="F51" i="1" a="1"/>
  <c r="F51" i="1"/>
  <c r="F52" i="1" a="1"/>
  <c r="F52" i="1"/>
  <c r="F53" i="1" a="1"/>
  <c r="F53" i="1" s="1"/>
  <c r="F54" i="1" a="1"/>
  <c r="F54" i="1" s="1"/>
  <c r="F55" i="1" a="1"/>
  <c r="F55" i="1" s="1"/>
  <c r="F56" i="1" a="1"/>
  <c r="F56" i="1"/>
  <c r="F57" i="1" a="1"/>
  <c r="F57" i="1"/>
  <c r="F58" i="1" a="1"/>
  <c r="F58" i="1"/>
  <c r="F59" i="1" a="1"/>
  <c r="F59" i="1"/>
  <c r="F60" i="1" a="1"/>
  <c r="F60" i="1"/>
  <c r="F61" i="1" a="1"/>
  <c r="F61" i="1" s="1"/>
  <c r="F62" i="1" a="1"/>
  <c r="F62" i="1" s="1"/>
  <c r="F63" i="1" a="1"/>
  <c r="F63" i="1" s="1"/>
  <c r="F64" i="1" a="1"/>
  <c r="F64" i="1"/>
  <c r="F65" i="1" a="1"/>
  <c r="F65" i="1"/>
  <c r="F66" i="1" a="1"/>
  <c r="F66" i="1"/>
  <c r="F67" i="1" a="1"/>
  <c r="F67" i="1"/>
  <c r="F68" i="1" a="1"/>
  <c r="F68" i="1"/>
  <c r="F69" i="1" a="1"/>
  <c r="F69" i="1" s="1"/>
  <c r="F70" i="1" a="1"/>
  <c r="F70" i="1" s="1"/>
  <c r="F71" i="1" a="1"/>
  <c r="F71" i="1" s="1"/>
  <c r="F72" i="1" a="1"/>
  <c r="F72" i="1"/>
  <c r="F73" i="1" a="1"/>
  <c r="F73" i="1"/>
  <c r="F74" i="1" a="1"/>
  <c r="F74" i="1"/>
  <c r="F75" i="1" a="1"/>
  <c r="F75" i="1"/>
  <c r="F76" i="1" a="1"/>
  <c r="F76" i="1"/>
  <c r="F77" i="1" a="1"/>
  <c r="F77" i="1" s="1"/>
  <c r="F78" i="1" a="1"/>
  <c r="F78" i="1" s="1"/>
  <c r="F79" i="1" a="1"/>
  <c r="F79" i="1" s="1"/>
  <c r="F80" i="1" a="1"/>
  <c r="F80" i="1"/>
  <c r="F81" i="1" a="1"/>
  <c r="F81" i="1"/>
  <c r="F82" i="1" a="1"/>
  <c r="F82" i="1"/>
  <c r="F83" i="1" a="1"/>
  <c r="F83" i="1"/>
  <c r="F84" i="1" a="1"/>
  <c r="F84" i="1"/>
  <c r="F85" i="1" a="1"/>
  <c r="F85" i="1" s="1"/>
  <c r="F86" i="1" a="1"/>
  <c r="F86" i="1" s="1"/>
  <c r="F87" i="1" a="1"/>
  <c r="F87" i="1" s="1"/>
  <c r="F88" i="1" a="1"/>
  <c r="F88" i="1"/>
  <c r="F89" i="1" a="1"/>
  <c r="F89" i="1"/>
  <c r="F90" i="1" a="1"/>
  <c r="F90" i="1"/>
  <c r="F91" i="1" a="1"/>
  <c r="F91" i="1"/>
  <c r="F92" i="1" a="1"/>
  <c r="F92" i="1"/>
  <c r="F93" i="1" a="1"/>
  <c r="F93" i="1" s="1"/>
  <c r="F94" i="1" a="1"/>
  <c r="F94" i="1" s="1"/>
  <c r="F95" i="1" a="1"/>
  <c r="F95" i="1" s="1"/>
  <c r="F96" i="1" a="1"/>
  <c r="F96" i="1"/>
  <c r="F97" i="1" a="1"/>
  <c r="F97" i="1"/>
  <c r="F98" i="1" a="1"/>
  <c r="F98" i="1"/>
  <c r="F99" i="1" a="1"/>
  <c r="F99" i="1"/>
  <c r="F100" i="1" a="1"/>
  <c r="F100" i="1"/>
  <c r="F101" i="1" a="1"/>
  <c r="F101" i="1" s="1"/>
  <c r="F102" i="1" a="1"/>
  <c r="F102" i="1" s="1"/>
  <c r="F103" i="1" a="1"/>
  <c r="F103" i="1" s="1"/>
  <c r="F104" i="1" a="1"/>
  <c r="F104" i="1"/>
  <c r="F105" i="1" a="1"/>
  <c r="F105" i="1"/>
  <c r="F106" i="1" a="1"/>
  <c r="F106" i="1"/>
  <c r="F107" i="1" a="1"/>
  <c r="F107" i="1"/>
  <c r="F108" i="1" a="1"/>
  <c r="F108" i="1"/>
  <c r="F109" i="1" a="1"/>
  <c r="F109" i="1" s="1"/>
  <c r="F110" i="1" a="1"/>
  <c r="F110" i="1" s="1"/>
  <c r="F111" i="1" a="1"/>
  <c r="F111" i="1" s="1"/>
  <c r="F112" i="1" a="1"/>
  <c r="F112" i="1"/>
  <c r="F113" i="1" a="1"/>
  <c r="F113" i="1"/>
  <c r="F114" i="1" a="1"/>
  <c r="F114" i="1"/>
  <c r="F115" i="1" a="1"/>
  <c r="F115" i="1"/>
  <c r="F116" i="1" a="1"/>
  <c r="F116" i="1"/>
  <c r="F117" i="1" a="1"/>
  <c r="F117" i="1" s="1"/>
  <c r="F118" i="1" a="1"/>
  <c r="F118" i="1" s="1"/>
  <c r="F119" i="1" a="1"/>
  <c r="F119" i="1" s="1"/>
  <c r="F120" i="1" a="1"/>
  <c r="F120" i="1"/>
  <c r="F121" i="1" a="1"/>
  <c r="F121" i="1"/>
  <c r="F122" i="1" a="1"/>
  <c r="F122" i="1"/>
  <c r="F123" i="1" a="1"/>
  <c r="F123" i="1"/>
  <c r="F124" i="1" a="1"/>
  <c r="F124" i="1"/>
  <c r="F125" i="1" a="1"/>
  <c r="F125" i="1" s="1"/>
  <c r="F126" i="1" a="1"/>
  <c r="F126" i="1" s="1"/>
  <c r="F127" i="1" a="1"/>
  <c r="F127" i="1" s="1"/>
  <c r="F128" i="1" a="1"/>
  <c r="F128" i="1"/>
  <c r="F129" i="1" a="1"/>
  <c r="F129" i="1"/>
  <c r="F130" i="1" a="1"/>
  <c r="F130" i="1"/>
  <c r="F131" i="1" a="1"/>
  <c r="F131" i="1"/>
  <c r="F132" i="1" a="1"/>
  <c r="F132" i="1"/>
  <c r="F133" i="1" a="1"/>
  <c r="F133" i="1" s="1"/>
  <c r="F134" i="1" a="1"/>
  <c r="F134" i="1" s="1"/>
  <c r="F135" i="1" a="1"/>
  <c r="F135" i="1" s="1"/>
  <c r="F136" i="1" a="1"/>
  <c r="F136" i="1"/>
  <c r="F137" i="1" a="1"/>
  <c r="F137" i="1"/>
  <c r="F138" i="1" a="1"/>
  <c r="F138" i="1"/>
  <c r="F139" i="1" a="1"/>
  <c r="F139" i="1"/>
  <c r="F140" i="1" a="1"/>
  <c r="F140" i="1"/>
  <c r="F141" i="1" a="1"/>
  <c r="F141" i="1" s="1"/>
  <c r="F142" i="1" a="1"/>
  <c r="F142" i="1" s="1"/>
  <c r="F143" i="1" a="1"/>
  <c r="F143" i="1" s="1"/>
  <c r="F144" i="1" a="1"/>
  <c r="F144" i="1"/>
  <c r="F145" i="1" a="1"/>
  <c r="F145" i="1"/>
  <c r="F146" i="1" a="1"/>
  <c r="F146" i="1"/>
  <c r="F147" i="1" a="1"/>
  <c r="F147" i="1"/>
  <c r="F148" i="1" a="1"/>
  <c r="F148" i="1"/>
  <c r="F149" i="1" a="1"/>
  <c r="F149" i="1" s="1"/>
  <c r="F150" i="1" a="1"/>
  <c r="F150" i="1" s="1"/>
  <c r="F151" i="1" a="1"/>
  <c r="F151" i="1" s="1"/>
  <c r="F152" i="1" a="1"/>
  <c r="F152" i="1"/>
  <c r="F153" i="1" a="1"/>
  <c r="F153" i="1"/>
  <c r="F154" i="1" a="1"/>
  <c r="F154" i="1"/>
  <c r="F155" i="1" a="1"/>
  <c r="F155" i="1"/>
  <c r="F156" i="1" a="1"/>
  <c r="F156" i="1"/>
  <c r="F157" i="1" a="1"/>
  <c r="F157" i="1" s="1"/>
  <c r="F158" i="1" a="1"/>
  <c r="F158" i="1" s="1"/>
  <c r="F159" i="1" a="1"/>
  <c r="F159" i="1" s="1"/>
  <c r="F160" i="1" a="1"/>
  <c r="F160" i="1"/>
  <c r="F161" i="1" a="1"/>
  <c r="F161" i="1"/>
  <c r="F162" i="1" a="1"/>
  <c r="F162" i="1"/>
  <c r="F163" i="1" a="1"/>
  <c r="F163" i="1"/>
  <c r="F164" i="1" a="1"/>
  <c r="F164" i="1"/>
  <c r="F165" i="1" a="1"/>
  <c r="F165" i="1" s="1"/>
  <c r="F166" i="1" a="1"/>
  <c r="F166" i="1" s="1"/>
  <c r="F167" i="1" a="1"/>
  <c r="F167" i="1" s="1"/>
  <c r="F168" i="1" a="1"/>
  <c r="F168" i="1"/>
  <c r="F169" i="1" a="1"/>
  <c r="F169" i="1"/>
  <c r="F170" i="1" a="1"/>
  <c r="F170" i="1"/>
  <c r="F171" i="1" a="1"/>
  <c r="F171" i="1"/>
  <c r="F172" i="1" a="1"/>
  <c r="F172" i="1"/>
  <c r="F173" i="1" a="1"/>
  <c r="F173" i="1" s="1"/>
  <c r="F174" i="1" a="1"/>
  <c r="F174" i="1" s="1"/>
  <c r="F175" i="1" a="1"/>
  <c r="F175" i="1" s="1"/>
  <c r="F176" i="1" a="1"/>
  <c r="F176" i="1"/>
  <c r="F177" i="1" a="1"/>
  <c r="F177" i="1"/>
  <c r="F178" i="1" a="1"/>
  <c r="F178" i="1"/>
  <c r="F179" i="1" a="1"/>
  <c r="F179" i="1"/>
  <c r="F180" i="1" a="1"/>
  <c r="F180" i="1"/>
  <c r="F181" i="1" a="1"/>
  <c r="F181" i="1" s="1"/>
  <c r="F182" i="1" a="1"/>
  <c r="F182" i="1" s="1"/>
  <c r="F183" i="1" a="1"/>
  <c r="F183" i="1" s="1"/>
  <c r="F184" i="1" a="1"/>
  <c r="F184" i="1"/>
  <c r="F185" i="1" a="1"/>
  <c r="F185" i="1"/>
  <c r="F186" i="1" a="1"/>
  <c r="F186" i="1"/>
  <c r="F187" i="1" a="1"/>
  <c r="F187" i="1"/>
  <c r="F188" i="1" a="1"/>
  <c r="F188" i="1"/>
  <c r="F189" i="1" a="1"/>
  <c r="F189" i="1" s="1"/>
  <c r="F190" i="1" a="1"/>
  <c r="F190" i="1" s="1"/>
  <c r="F191" i="1" a="1"/>
  <c r="F191" i="1" s="1"/>
  <c r="F192" i="1" a="1"/>
  <c r="F192" i="1"/>
  <c r="F193" i="1" a="1"/>
  <c r="F193" i="1"/>
  <c r="F194" i="1" a="1"/>
  <c r="F194" i="1"/>
  <c r="F195" i="1" a="1"/>
  <c r="F195" i="1"/>
  <c r="F196" i="1" a="1"/>
  <c r="F196" i="1" s="1"/>
  <c r="F197" i="1" a="1"/>
  <c r="F197" i="1" s="1"/>
  <c r="F198" i="1" a="1"/>
  <c r="F198" i="1" s="1"/>
  <c r="F199" i="1" a="1"/>
  <c r="F199" i="1" s="1"/>
  <c r="F200" i="1" a="1"/>
  <c r="F200" i="1"/>
  <c r="F201" i="1" a="1"/>
  <c r="F201" i="1"/>
  <c r="F202" i="1" a="1"/>
  <c r="F202" i="1"/>
  <c r="F203" i="1" a="1"/>
  <c r="F203" i="1"/>
  <c r="F204" i="1" a="1"/>
  <c r="F204" i="1"/>
  <c r="F205" i="1" a="1"/>
  <c r="F205" i="1" s="1"/>
  <c r="F206" i="1" a="1"/>
  <c r="F206" i="1" s="1"/>
  <c r="F207" i="1" a="1"/>
  <c r="F207" i="1" s="1"/>
  <c r="F208" i="1" a="1"/>
  <c r="F208" i="1"/>
  <c r="F209" i="1" a="1"/>
  <c r="F209" i="1"/>
  <c r="F210" i="1" a="1"/>
  <c r="F210" i="1"/>
  <c r="F211" i="1" a="1"/>
  <c r="F211" i="1"/>
  <c r="F212" i="1" a="1"/>
  <c r="F212" i="1"/>
  <c r="F213" i="1" a="1"/>
  <c r="F213" i="1" s="1"/>
  <c r="F214" i="1" a="1"/>
  <c r="F214" i="1" s="1"/>
  <c r="F215" i="1" a="1"/>
  <c r="F215" i="1" s="1"/>
  <c r="F216" i="1" a="1"/>
  <c r="F216" i="1"/>
  <c r="F217" i="1" a="1"/>
  <c r="F217" i="1"/>
  <c r="F218" i="1" a="1"/>
  <c r="F218" i="1"/>
  <c r="F219" i="1" a="1"/>
  <c r="F219" i="1"/>
  <c r="F220" i="1" a="1"/>
  <c r="F220" i="1"/>
  <c r="F221" i="1" a="1"/>
  <c r="F221" i="1" s="1"/>
  <c r="F222" i="1" a="1"/>
  <c r="F222" i="1" s="1"/>
  <c r="F223" i="1" a="1"/>
  <c r="F223" i="1" s="1"/>
  <c r="F224" i="1" a="1"/>
  <c r="F224" i="1"/>
  <c r="F225" i="1" a="1"/>
  <c r="F225" i="1"/>
  <c r="F226" i="1" a="1"/>
  <c r="F226" i="1"/>
  <c r="F227" i="1" a="1"/>
  <c r="F227" i="1"/>
  <c r="F228" i="1" a="1"/>
  <c r="F228" i="1"/>
  <c r="F229" i="1" a="1"/>
  <c r="F229" i="1" s="1"/>
  <c r="F230" i="1" a="1"/>
  <c r="F230" i="1" s="1"/>
  <c r="F231" i="1" a="1"/>
  <c r="F231" i="1" s="1"/>
  <c r="F232" i="1" a="1"/>
  <c r="F232" i="1"/>
  <c r="F233" i="1" a="1"/>
  <c r="F233" i="1"/>
  <c r="F234" i="1" a="1"/>
  <c r="F234" i="1"/>
  <c r="F235" i="1" a="1"/>
  <c r="F235" i="1"/>
  <c r="F236" i="1" a="1"/>
  <c r="F236" i="1"/>
  <c r="F237" i="1" a="1"/>
  <c r="F237" i="1" s="1"/>
  <c r="F238" i="1" a="1"/>
  <c r="F238" i="1" s="1"/>
  <c r="F239" i="1" a="1"/>
  <c r="F239" i="1" s="1"/>
  <c r="F240" i="1" a="1"/>
  <c r="F240" i="1"/>
  <c r="F241" i="1" a="1"/>
  <c r="F241" i="1"/>
  <c r="F242" i="1" a="1"/>
  <c r="F242" i="1"/>
  <c r="F243" i="1" a="1"/>
  <c r="F243" i="1"/>
  <c r="F244" i="1" a="1"/>
  <c r="F244" i="1"/>
  <c r="F245" i="1" a="1"/>
  <c r="F245" i="1" s="1"/>
  <c r="F246" i="1" a="1"/>
  <c r="F246" i="1" s="1"/>
  <c r="F247" i="1" a="1"/>
  <c r="F247" i="1" s="1"/>
  <c r="F248" i="1" a="1"/>
  <c r="F248" i="1"/>
  <c r="F249" i="1" a="1"/>
  <c r="F249" i="1"/>
  <c r="F250" i="1" a="1"/>
  <c r="F250" i="1"/>
  <c r="F251" i="1" a="1"/>
  <c r="F251" i="1"/>
  <c r="F252" i="1" a="1"/>
  <c r="F252" i="1"/>
  <c r="F253" i="1" a="1"/>
  <c r="F253" i="1" s="1"/>
  <c r="F254" i="1" a="1"/>
  <c r="F254" i="1" s="1"/>
  <c r="F255" i="1" a="1"/>
  <c r="F255" i="1" s="1"/>
  <c r="F256" i="1" a="1"/>
  <c r="F256" i="1"/>
  <c r="F257" i="1" a="1"/>
  <c r="F257" i="1"/>
  <c r="F258" i="1" a="1"/>
  <c r="F258" i="1"/>
  <c r="F259" i="1" a="1"/>
  <c r="F259" i="1"/>
  <c r="F260" i="1" a="1"/>
  <c r="F260" i="1"/>
  <c r="F261" i="1" a="1"/>
  <c r="F261" i="1" s="1"/>
  <c r="F262" i="1" a="1"/>
  <c r="F262" i="1" s="1"/>
  <c r="F263" i="1" a="1"/>
  <c r="F263" i="1" s="1"/>
  <c r="F264" i="1" a="1"/>
  <c r="F264" i="1"/>
  <c r="F265" i="1" a="1"/>
  <c r="F265" i="1"/>
  <c r="F266" i="1" a="1"/>
  <c r="F266" i="1"/>
  <c r="F267" i="1" a="1"/>
  <c r="F267" i="1"/>
  <c r="F268" i="1" a="1"/>
  <c r="F268" i="1"/>
  <c r="F269" i="1" a="1"/>
  <c r="F269" i="1" s="1"/>
  <c r="F270" i="1" a="1"/>
  <c r="F270" i="1" s="1"/>
  <c r="F271" i="1" a="1"/>
  <c r="F271" i="1" s="1"/>
  <c r="F272" i="1" a="1"/>
  <c r="F272" i="1"/>
  <c r="F273" i="1" a="1"/>
  <c r="F273" i="1"/>
  <c r="F274" i="1" a="1"/>
  <c r="F274" i="1"/>
  <c r="F275" i="1" a="1"/>
  <c r="F275" i="1"/>
  <c r="F276" i="1" a="1"/>
  <c r="F276" i="1"/>
  <c r="F277" i="1" a="1"/>
  <c r="F277" i="1" s="1"/>
  <c r="F278" i="1" a="1"/>
  <c r="F278" i="1" s="1"/>
  <c r="F279" i="1" a="1"/>
  <c r="F279" i="1" s="1"/>
  <c r="F280" i="1" a="1"/>
  <c r="F280" i="1"/>
  <c r="F281" i="1" a="1"/>
  <c r="F281" i="1"/>
  <c r="F282" i="1" a="1"/>
  <c r="F282" i="1"/>
  <c r="F283" i="1" a="1"/>
  <c r="F283" i="1"/>
  <c r="F284" i="1" a="1"/>
  <c r="F284" i="1"/>
  <c r="F285" i="1" a="1"/>
  <c r="F285" i="1" s="1"/>
  <c r="F286" i="1" a="1"/>
  <c r="F286" i="1" s="1"/>
  <c r="F287" i="1" a="1"/>
  <c r="F287" i="1" s="1"/>
  <c r="F288" i="1" a="1"/>
  <c r="F288" i="1"/>
  <c r="F289" i="1" a="1"/>
  <c r="F289" i="1"/>
  <c r="F290" i="1" a="1"/>
  <c r="F290" i="1"/>
  <c r="F291" i="1" a="1"/>
  <c r="F291" i="1"/>
  <c r="F292" i="1" a="1"/>
  <c r="F292" i="1"/>
  <c r="F293" i="1" a="1"/>
  <c r="F293" i="1" s="1"/>
  <c r="F294" i="1" a="1"/>
  <c r="F294" i="1" s="1"/>
  <c r="F295" i="1" a="1"/>
  <c r="F295" i="1" s="1"/>
  <c r="F296" i="1" a="1"/>
  <c r="F296" i="1"/>
  <c r="F297" i="1" a="1"/>
  <c r="F297" i="1"/>
  <c r="F298" i="1" a="1"/>
  <c r="F298" i="1"/>
  <c r="F299" i="1" a="1"/>
  <c r="F299" i="1"/>
  <c r="F300" i="1" a="1"/>
  <c r="F300" i="1"/>
  <c r="F301" i="1" a="1"/>
  <c r="F301" i="1" s="1"/>
  <c r="F302" i="1" a="1"/>
  <c r="F302" i="1" s="1"/>
  <c r="F303" i="1" a="1"/>
  <c r="F303" i="1" s="1"/>
  <c r="F304" i="1" a="1"/>
  <c r="F304" i="1"/>
  <c r="F305" i="1" a="1"/>
  <c r="F305" i="1"/>
  <c r="F306" i="1" a="1"/>
  <c r="F306" i="1"/>
  <c r="F307" i="1" a="1"/>
  <c r="F307" i="1"/>
  <c r="F308" i="1" a="1"/>
  <c r="F308" i="1"/>
  <c r="F309" i="1" a="1"/>
  <c r="F309" i="1" s="1"/>
  <c r="F310" i="1" a="1"/>
  <c r="F310" i="1" s="1"/>
  <c r="F311" i="1" a="1"/>
  <c r="F311" i="1" s="1"/>
  <c r="F312" i="1" a="1"/>
  <c r="F312" i="1"/>
  <c r="F313" i="1" a="1"/>
  <c r="F313" i="1"/>
  <c r="F314" i="1" a="1"/>
  <c r="F314" i="1"/>
  <c r="F315" i="1" a="1"/>
  <c r="F315" i="1"/>
  <c r="F316" i="1" a="1"/>
  <c r="F316" i="1"/>
  <c r="F317" i="1" a="1"/>
  <c r="F317" i="1" s="1"/>
  <c r="F318" i="1" a="1"/>
  <c r="F318" i="1" s="1"/>
  <c r="F319" i="1" a="1"/>
  <c r="F319" i="1" s="1"/>
  <c r="F320" i="1" a="1"/>
  <c r="F320" i="1"/>
  <c r="F321" i="1" a="1"/>
  <c r="F321" i="1"/>
  <c r="F322" i="1" a="1"/>
  <c r="F322" i="1"/>
  <c r="F323" i="1" a="1"/>
  <c r="F323" i="1"/>
  <c r="F324" i="1" a="1"/>
  <c r="F324" i="1"/>
  <c r="F325" i="1" a="1"/>
  <c r="F325" i="1" s="1"/>
  <c r="F326" i="1" a="1"/>
  <c r="F326" i="1" s="1"/>
  <c r="F327" i="1" a="1"/>
  <c r="F327" i="1" s="1"/>
  <c r="F328" i="1" a="1"/>
  <c r="F328" i="1"/>
  <c r="F329" i="1" a="1"/>
  <c r="F329" i="1"/>
  <c r="F330" i="1" a="1"/>
  <c r="F330" i="1"/>
  <c r="F331" i="1" a="1"/>
  <c r="F331" i="1"/>
  <c r="F332" i="1" a="1"/>
  <c r="F332" i="1"/>
  <c r="F333" i="1" a="1"/>
  <c r="F333" i="1" s="1"/>
  <c r="F334" i="1" a="1"/>
  <c r="F334" i="1" s="1"/>
  <c r="F335" i="1" a="1"/>
  <c r="F335" i="1" s="1"/>
  <c r="F336" i="1" a="1"/>
  <c r="F336" i="1"/>
  <c r="F337" i="1" a="1"/>
  <c r="F337" i="1"/>
  <c r="F338" i="1" a="1"/>
  <c r="F338" i="1"/>
  <c r="F339" i="1" a="1"/>
  <c r="F339" i="1"/>
  <c r="F340" i="1" a="1"/>
  <c r="F340" i="1"/>
  <c r="F341" i="1" a="1"/>
  <c r="F341" i="1" s="1"/>
  <c r="F342" i="1" a="1"/>
  <c r="F342" i="1" s="1"/>
  <c r="F343" i="1" a="1"/>
  <c r="F343" i="1" s="1"/>
  <c r="F344" i="1" a="1"/>
  <c r="F344" i="1"/>
  <c r="F345" i="1" a="1"/>
  <c r="F345" i="1"/>
  <c r="F346" i="1" a="1"/>
  <c r="F346" i="1"/>
  <c r="F347" i="1" a="1"/>
  <c r="F347" i="1"/>
  <c r="F348" i="1" a="1"/>
  <c r="F348" i="1"/>
  <c r="F349" i="1" a="1"/>
  <c r="F349" i="1" s="1"/>
  <c r="F350" i="1" a="1"/>
  <c r="F350" i="1" s="1"/>
  <c r="F351" i="1" a="1"/>
  <c r="F351" i="1" s="1"/>
  <c r="F352" i="1" a="1"/>
  <c r="F352" i="1"/>
  <c r="F353" i="1" a="1"/>
  <c r="F353" i="1"/>
  <c r="F354" i="1" a="1"/>
  <c r="F354" i="1"/>
  <c r="F355" i="1" a="1"/>
  <c r="F355" i="1"/>
  <c r="F356" i="1" a="1"/>
  <c r="F356" i="1"/>
  <c r="F357" i="1" a="1"/>
  <c r="F357" i="1" s="1"/>
  <c r="F358" i="1" a="1"/>
  <c r="F358" i="1" s="1"/>
  <c r="F359" i="1" a="1"/>
  <c r="F359" i="1" s="1"/>
  <c r="F360" i="1" a="1"/>
  <c r="F360" i="1"/>
  <c r="F361" i="1" a="1"/>
  <c r="F361" i="1"/>
  <c r="F362" i="1" a="1"/>
  <c r="F362" i="1"/>
  <c r="F363" i="1" a="1"/>
  <c r="F363" i="1"/>
  <c r="F364" i="1" a="1"/>
  <c r="F364" i="1"/>
  <c r="F365" i="1" a="1"/>
  <c r="F365" i="1" s="1"/>
  <c r="F366" i="1" a="1"/>
  <c r="F366" i="1" s="1"/>
  <c r="B14" i="2"/>
  <c r="D14" i="2"/>
  <c r="E4" i="1" a="1"/>
  <c r="E4" i="1" s="1"/>
  <c r="E5" i="1" a="1"/>
  <c r="E5" i="1" s="1"/>
  <c r="E11" i="1" a="1"/>
  <c r="E11" i="1" s="1"/>
  <c r="E12" i="1" a="1"/>
  <c r="E12" i="1" s="1"/>
  <c r="E18" i="1" a="1"/>
  <c r="E18" i="1" s="1"/>
  <c r="E19" i="1" a="1"/>
  <c r="E19" i="1" s="1"/>
  <c r="E25" i="1" a="1"/>
  <c r="E25" i="1" s="1"/>
  <c r="E26" i="1" a="1"/>
  <c r="E26" i="1" s="1"/>
  <c r="E32" i="1" a="1"/>
  <c r="E32" i="1" s="1"/>
  <c r="E33" i="1" a="1"/>
  <c r="E33" i="1" s="1"/>
  <c r="E39" i="1" a="1"/>
  <c r="E39" i="1" s="1"/>
  <c r="E40" i="1" a="1"/>
  <c r="E40" i="1" s="1"/>
  <c r="E46" i="1" a="1"/>
  <c r="E46" i="1" s="1"/>
  <c r="E47" i="1" a="1"/>
  <c r="E47" i="1" s="1"/>
  <c r="E48" i="1" a="1"/>
  <c r="E48" i="1" s="1"/>
  <c r="E53" i="1" a="1"/>
  <c r="E53" i="1" s="1"/>
  <c r="E54" i="1" a="1"/>
  <c r="E54" i="1" s="1"/>
  <c r="E60" i="1" a="1"/>
  <c r="E60" i="1" s="1"/>
  <c r="E61" i="1" a="1"/>
  <c r="E61" i="1" s="1"/>
  <c r="E67" i="1" a="1"/>
  <c r="E67" i="1" s="1"/>
  <c r="E68" i="1" a="1"/>
  <c r="E68" i="1" s="1"/>
  <c r="E74" i="1" a="1"/>
  <c r="E74" i="1" s="1"/>
  <c r="E75" i="1" a="1"/>
  <c r="E75" i="1" s="1"/>
  <c r="E81" i="1" a="1"/>
  <c r="E81" i="1" s="1"/>
  <c r="E82" i="1" a="1"/>
  <c r="E82" i="1" s="1"/>
  <c r="E88" i="1" a="1"/>
  <c r="E88" i="1" s="1"/>
  <c r="E89" i="1" a="1"/>
  <c r="E89" i="1"/>
  <c r="E94" i="1" a="1"/>
  <c r="E94" i="1" s="1"/>
  <c r="E95" i="1" a="1"/>
  <c r="E95" i="1" s="1"/>
  <c r="E96" i="1" a="1"/>
  <c r="E96" i="1" s="1"/>
  <c r="E102" i="1" a="1"/>
  <c r="E102" i="1" s="1"/>
  <c r="E103" i="1" a="1"/>
  <c r="E103" i="1" s="1"/>
  <c r="E109" i="1" a="1"/>
  <c r="E109" i="1" s="1"/>
  <c r="E110" i="1" a="1"/>
  <c r="E110" i="1" s="1"/>
  <c r="E116" i="1" a="1"/>
  <c r="E116" i="1" s="1"/>
  <c r="E117" i="1" a="1"/>
  <c r="E117" i="1" s="1"/>
  <c r="E123" i="1" a="1"/>
  <c r="E123" i="1" s="1"/>
  <c r="E124" i="1" a="1"/>
  <c r="E124" i="1" s="1"/>
  <c r="E130" i="1" a="1"/>
  <c r="E130" i="1" s="1"/>
  <c r="E131" i="1" a="1"/>
  <c r="E131" i="1" s="1"/>
  <c r="E137" i="1" a="1"/>
  <c r="E137" i="1" s="1"/>
  <c r="E138" i="1" a="1"/>
  <c r="E138" i="1" s="1"/>
  <c r="E139" i="1" a="1"/>
  <c r="E139" i="1" s="1"/>
  <c r="E144" i="1" a="1"/>
  <c r="E144" i="1" s="1"/>
  <c r="E145" i="1" a="1"/>
  <c r="E145" i="1" s="1"/>
  <c r="E151" i="1" a="1"/>
  <c r="E151" i="1" s="1"/>
  <c r="E152" i="1" a="1"/>
  <c r="E152" i="1" s="1"/>
  <c r="E158" i="1" a="1"/>
  <c r="E158" i="1" s="1"/>
  <c r="E159" i="1" a="1"/>
  <c r="E159" i="1" s="1"/>
  <c r="E165" i="1" a="1"/>
  <c r="E165" i="1" s="1"/>
  <c r="E166" i="1" a="1"/>
  <c r="E166" i="1" s="1"/>
  <c r="E172" i="1" a="1"/>
  <c r="E172" i="1" s="1"/>
  <c r="E173" i="1" a="1"/>
  <c r="E173" i="1" s="1"/>
  <c r="E179" i="1" a="1"/>
  <c r="E179" i="1" s="1"/>
  <c r="E180" i="1" a="1"/>
  <c r="E180" i="1" s="1"/>
  <c r="E183" i="1" a="1"/>
  <c r="E183" i="1" s="1"/>
  <c r="E186" i="1" a="1"/>
  <c r="E186" i="1" s="1"/>
  <c r="E187" i="1" a="1"/>
  <c r="E187" i="1" s="1"/>
  <c r="E193" i="1" a="1"/>
  <c r="E193" i="1" s="1"/>
  <c r="E194" i="1" a="1"/>
  <c r="E194" i="1" s="1"/>
  <c r="E200" i="1" a="1"/>
  <c r="E200" i="1" s="1"/>
  <c r="E201" i="1" a="1"/>
  <c r="E201" i="1" s="1"/>
  <c r="E207" i="1" a="1"/>
  <c r="E207" i="1" s="1"/>
  <c r="E208" i="1" a="1"/>
  <c r="E208" i="1" s="1"/>
  <c r="E214" i="1" a="1"/>
  <c r="E214" i="1"/>
  <c r="E215" i="1" a="1"/>
  <c r="E215" i="1" s="1"/>
  <c r="E216" i="1" a="1"/>
  <c r="E216" i="1" s="1"/>
  <c r="E221" i="1" a="1"/>
  <c r="E221" i="1" s="1"/>
  <c r="E222" i="1" a="1"/>
  <c r="E222" i="1" s="1"/>
  <c r="E228" i="1" a="1"/>
  <c r="E228" i="1" s="1"/>
  <c r="E229" i="1" a="1"/>
  <c r="E229" i="1" s="1"/>
  <c r="E235" i="1" a="1"/>
  <c r="E235" i="1" s="1"/>
  <c r="E236" i="1" a="1"/>
  <c r="E236" i="1" s="1"/>
  <c r="E242" i="1" a="1"/>
  <c r="E242" i="1" s="1"/>
  <c r="E243" i="1" a="1"/>
  <c r="E243" i="1" s="1"/>
  <c r="E249" i="1" a="1"/>
  <c r="E249" i="1" s="1"/>
  <c r="E250" i="1" a="1"/>
  <c r="E250" i="1" s="1"/>
  <c r="E251" i="1" a="1"/>
  <c r="E251" i="1" s="1"/>
  <c r="E256" i="1" a="1"/>
  <c r="E256" i="1" s="1"/>
  <c r="E257" i="1" a="1"/>
  <c r="E257" i="1" s="1"/>
  <c r="E263" i="1" a="1"/>
  <c r="E263" i="1" s="1"/>
  <c r="E264" i="1" a="1"/>
  <c r="E264" i="1" s="1"/>
  <c r="E270" i="1" a="1"/>
  <c r="E270" i="1" s="1"/>
  <c r="E271" i="1" a="1"/>
  <c r="E271" i="1" s="1"/>
  <c r="E274" i="1" a="1"/>
  <c r="E274" i="1" s="1"/>
  <c r="E277" i="1" a="1"/>
  <c r="E277" i="1" s="1"/>
  <c r="E278" i="1" a="1"/>
  <c r="E278" i="1" s="1"/>
  <c r="E284" i="1" a="1"/>
  <c r="E284" i="1" s="1"/>
  <c r="E285" i="1" a="1"/>
  <c r="E285" i="1" s="1"/>
  <c r="E286" i="1" a="1"/>
  <c r="E286" i="1" s="1"/>
  <c r="E291" i="1" a="1"/>
  <c r="E291" i="1" s="1"/>
  <c r="E292" i="1" a="1"/>
  <c r="E292" i="1" s="1"/>
  <c r="E298" i="1" a="1"/>
  <c r="E298" i="1" s="1"/>
  <c r="E299" i="1" a="1"/>
  <c r="E299" i="1" s="1"/>
  <c r="E305" i="1" a="1"/>
  <c r="E305" i="1" s="1"/>
  <c r="E306" i="1" a="1"/>
  <c r="E306" i="1" s="1"/>
  <c r="E312" i="1" a="1"/>
  <c r="E312" i="1" s="1"/>
  <c r="E313" i="1" a="1"/>
  <c r="E313" i="1" s="1"/>
  <c r="E316" i="1" a="1"/>
  <c r="E316" i="1" s="1"/>
  <c r="E319" i="1" a="1"/>
  <c r="E319" i="1" s="1"/>
  <c r="E320" i="1" a="1"/>
  <c r="E320" i="1" s="1"/>
  <c r="E326" i="1" a="1"/>
  <c r="E326" i="1" s="1"/>
  <c r="E327" i="1" a="1"/>
  <c r="E327" i="1" s="1"/>
  <c r="E333" i="1" a="1"/>
  <c r="E333" i="1" s="1"/>
  <c r="E334" i="1" a="1"/>
  <c r="E334" i="1" s="1"/>
  <c r="E340" i="1" a="1"/>
  <c r="E340" i="1" s="1"/>
  <c r="E341" i="1" a="1"/>
  <c r="E341" i="1" s="1"/>
  <c r="E347" i="1" a="1"/>
  <c r="E347" i="1" s="1"/>
  <c r="E348" i="1" a="1"/>
  <c r="E348" i="1" s="1"/>
  <c r="E354" i="1" a="1"/>
  <c r="E354" i="1" s="1"/>
  <c r="E355" i="1" a="1"/>
  <c r="E355" i="1" s="1"/>
  <c r="E360" i="1" a="1"/>
  <c r="E360" i="1" s="1"/>
  <c r="E361" i="1" a="1"/>
  <c r="E361" i="1" s="1"/>
  <c r="E362" i="1" a="1"/>
  <c r="E362" i="1" s="1"/>
  <c r="E2" i="1" a="1"/>
  <c r="E2" i="1" s="1"/>
  <c r="I3" i="2"/>
  <c r="F3" i="2" s="1"/>
  <c r="I4" i="2"/>
  <c r="F4" i="2" s="1"/>
  <c r="I5" i="2"/>
  <c r="F5" i="2" s="1"/>
  <c r="I6" i="2"/>
  <c r="F6" i="2" s="1"/>
  <c r="I7" i="2"/>
  <c r="F7" i="2" s="1"/>
  <c r="I8" i="2"/>
  <c r="F8" i="2" s="1"/>
  <c r="I9" i="2"/>
  <c r="F9" i="2" s="1"/>
  <c r="I10" i="2"/>
  <c r="F10" i="2" s="1"/>
  <c r="I11" i="2"/>
  <c r="F11" i="2" s="1"/>
  <c r="I12" i="2"/>
  <c r="F12" i="2" s="1"/>
  <c r="I13" i="2"/>
  <c r="F13" i="2" s="1"/>
  <c r="I2" i="2"/>
  <c r="F2" i="2" s="1"/>
  <c r="H3" i="2"/>
  <c r="H4" i="2"/>
  <c r="H5" i="2"/>
  <c r="H6" i="2"/>
  <c r="H7" i="2"/>
  <c r="G7" i="2" s="1"/>
  <c r="E181" i="1" s="1" a="1"/>
  <c r="E181" i="1" s="1"/>
  <c r="H8" i="2"/>
  <c r="G8" i="2" s="1"/>
  <c r="H9" i="2"/>
  <c r="G9" i="2" s="1"/>
  <c r="E218" i="1" s="1" a="1"/>
  <c r="E218" i="1" s="1"/>
  <c r="H10" i="2"/>
  <c r="G10" i="2" s="1"/>
  <c r="E266" i="1" s="1" a="1"/>
  <c r="E266" i="1" s="1"/>
  <c r="H11" i="2"/>
  <c r="G11" i="2" s="1"/>
  <c r="H12" i="2"/>
  <c r="G12" i="2" s="1"/>
  <c r="H13" i="2"/>
  <c r="G13" i="2" s="1"/>
  <c r="E339" i="1" s="1" a="1"/>
  <c r="E339" i="1" s="1"/>
  <c r="H2" i="2"/>
  <c r="G2" i="2" s="1"/>
  <c r="E357" i="1" l="1" a="1"/>
  <c r="E357" i="1" s="1"/>
  <c r="E322" i="1" a="1"/>
  <c r="E322" i="1" s="1"/>
  <c r="E331" i="1" a="1"/>
  <c r="E331" i="1" s="1"/>
  <c r="E314" i="1" a="1"/>
  <c r="E314" i="1" s="1"/>
  <c r="E323" i="1" a="1"/>
  <c r="E323" i="1" s="1"/>
  <c r="E332" i="1" a="1"/>
  <c r="E332" i="1" s="1"/>
  <c r="E315" i="1" a="1"/>
  <c r="E315" i="1" s="1"/>
  <c r="E324" i="1" a="1"/>
  <c r="E324" i="1" s="1"/>
  <c r="E307" i="1" a="1"/>
  <c r="E307" i="1" s="1"/>
  <c r="E325" i="1" a="1"/>
  <c r="E325" i="1" s="1"/>
  <c r="E335" i="1" a="1"/>
  <c r="E335" i="1" s="1"/>
  <c r="E308" i="1" a="1"/>
  <c r="E308" i="1" s="1"/>
  <c r="E317" i="1" a="1"/>
  <c r="E317" i="1" s="1"/>
  <c r="E318" i="1" a="1"/>
  <c r="E318" i="1" s="1"/>
  <c r="E309" i="1" a="1"/>
  <c r="E309" i="1" s="1"/>
  <c r="E328" i="1" a="1"/>
  <c r="E328" i="1" s="1"/>
  <c r="E310" i="1" a="1"/>
  <c r="E310" i="1" s="1"/>
  <c r="E311" i="1" a="1"/>
  <c r="E311" i="1" s="1"/>
  <c r="E329" i="1" a="1"/>
  <c r="E329" i="1" s="1"/>
  <c r="E294" i="1" a="1"/>
  <c r="E294" i="1" s="1"/>
  <c r="E303" i="1" a="1"/>
  <c r="E303" i="1" s="1"/>
  <c r="E276" i="1" a="1"/>
  <c r="E276" i="1" s="1"/>
  <c r="E304" i="1" a="1"/>
  <c r="E304" i="1" s="1"/>
  <c r="E295" i="1" a="1"/>
  <c r="E295" i="1" s="1"/>
  <c r="E296" i="1" a="1"/>
  <c r="E296" i="1" s="1"/>
  <c r="E287" i="1" a="1"/>
  <c r="E287" i="1" s="1"/>
  <c r="E302" i="1" a="1"/>
  <c r="E302" i="1" s="1"/>
  <c r="E288" i="1" a="1"/>
  <c r="E288" i="1" s="1"/>
  <c r="E297" i="1" a="1"/>
  <c r="E297" i="1" s="1"/>
  <c r="E279" i="1" a="1"/>
  <c r="E279" i="1" s="1"/>
  <c r="E280" i="1" a="1"/>
  <c r="E280" i="1" s="1"/>
  <c r="E289" i="1" a="1"/>
  <c r="E289" i="1" s="1"/>
  <c r="E281" i="1" a="1"/>
  <c r="E281" i="1" s="1"/>
  <c r="E290" i="1" a="1"/>
  <c r="E290" i="1" s="1"/>
  <c r="E282" i="1" a="1"/>
  <c r="E282" i="1" s="1"/>
  <c r="E300" i="1" a="1"/>
  <c r="E300" i="1" s="1"/>
  <c r="E283" i="1" a="1"/>
  <c r="E283" i="1" s="1"/>
  <c r="E301" i="1" a="1"/>
  <c r="E301" i="1" s="1"/>
  <c r="E246" i="1" a="1"/>
  <c r="E246" i="1" s="1"/>
  <c r="E219" i="1" a="1"/>
  <c r="E219" i="1" s="1"/>
  <c r="E237" i="1" a="1"/>
  <c r="E237" i="1" s="1"/>
  <c r="E238" i="1" a="1"/>
  <c r="E238" i="1" s="1"/>
  <c r="E220" i="1" a="1"/>
  <c r="E220" i="1" s="1"/>
  <c r="E239" i="1" a="1"/>
  <c r="E239" i="1" s="1"/>
  <c r="E230" i="1" a="1"/>
  <c r="E230" i="1" s="1"/>
  <c r="E240" i="1" a="1"/>
  <c r="E240" i="1" s="1"/>
  <c r="E231" i="1" a="1"/>
  <c r="E231" i="1" s="1"/>
  <c r="E241" i="1" a="1"/>
  <c r="E241" i="1" s="1"/>
  <c r="E232" i="1" a="1"/>
  <c r="E232" i="1" s="1"/>
  <c r="E223" i="1" a="1"/>
  <c r="E223" i="1" s="1"/>
  <c r="E224" i="1" a="1"/>
  <c r="E224" i="1" s="1"/>
  <c r="E233" i="1" a="1"/>
  <c r="E233" i="1" s="1"/>
  <c r="E225" i="1" a="1"/>
  <c r="E225" i="1" s="1"/>
  <c r="E234" i="1" a="1"/>
  <c r="E234" i="1" s="1"/>
  <c r="E244" i="1" a="1"/>
  <c r="E244" i="1" s="1"/>
  <c r="E217" i="1" a="1"/>
  <c r="E217" i="1" s="1"/>
  <c r="E226" i="1" a="1"/>
  <c r="E226" i="1" s="1"/>
  <c r="E330" i="1" a="1"/>
  <c r="E330" i="1" s="1"/>
  <c r="E227" i="1" a="1"/>
  <c r="E227" i="1" s="1"/>
  <c r="E321" i="1" a="1"/>
  <c r="E321" i="1" s="1"/>
  <c r="E247" i="1" a="1"/>
  <c r="E247" i="1" s="1"/>
  <c r="E267" i="1" a="1"/>
  <c r="E267" i="1" s="1"/>
  <c r="E248" i="1" a="1"/>
  <c r="E248" i="1" s="1"/>
  <c r="E258" i="1" a="1"/>
  <c r="E258" i="1" s="1"/>
  <c r="E268" i="1" a="1"/>
  <c r="E268" i="1" s="1"/>
  <c r="E259" i="1" a="1"/>
  <c r="E259" i="1" s="1"/>
  <c r="E245" i="1" a="1"/>
  <c r="E245" i="1" s="1"/>
  <c r="E255" i="1" a="1"/>
  <c r="E255" i="1" s="1"/>
  <c r="E269" i="1" a="1"/>
  <c r="E269" i="1" s="1"/>
  <c r="E260" i="1" a="1"/>
  <c r="E260" i="1" s="1"/>
  <c r="E261" i="1" a="1"/>
  <c r="E261" i="1" s="1"/>
  <c r="E252" i="1" a="1"/>
  <c r="E252" i="1" s="1"/>
  <c r="E262" i="1" a="1"/>
  <c r="E262" i="1" s="1"/>
  <c r="E272" i="1" a="1"/>
  <c r="E272" i="1" s="1"/>
  <c r="E253" i="1" a="1"/>
  <c r="E253" i="1" s="1"/>
  <c r="E273" i="1" a="1"/>
  <c r="E273" i="1" s="1"/>
  <c r="E254" i="1" a="1"/>
  <c r="E254" i="1" s="1"/>
  <c r="E265" i="1" a="1"/>
  <c r="E265" i="1" s="1"/>
  <c r="E275" i="1" a="1"/>
  <c r="E275" i="1" s="1"/>
  <c r="E191" i="1" a="1"/>
  <c r="E191" i="1" s="1"/>
  <c r="E192" i="1" a="1"/>
  <c r="E192" i="1" s="1"/>
  <c r="E210" i="1" a="1"/>
  <c r="E210" i="1" s="1"/>
  <c r="E184" i="1" a="1"/>
  <c r="E184" i="1" s="1"/>
  <c r="E202" i="1" a="1"/>
  <c r="E202" i="1" s="1"/>
  <c r="E211" i="1" a="1"/>
  <c r="E211" i="1" s="1"/>
  <c r="E190" i="1" a="1"/>
  <c r="E190" i="1" s="1"/>
  <c r="E185" i="1" a="1"/>
  <c r="E185" i="1" s="1"/>
  <c r="E203" i="1" a="1"/>
  <c r="E203" i="1" s="1"/>
  <c r="E212" i="1" a="1"/>
  <c r="E212" i="1" s="1"/>
  <c r="E195" i="1" a="1"/>
  <c r="E195" i="1" s="1"/>
  <c r="E204" i="1" a="1"/>
  <c r="E204" i="1" s="1"/>
  <c r="E213" i="1" a="1"/>
  <c r="E213" i="1" s="1"/>
  <c r="E196" i="1" a="1"/>
  <c r="E196" i="1" s="1"/>
  <c r="E205" i="1" a="1"/>
  <c r="E205" i="1" s="1"/>
  <c r="E206" i="1" a="1"/>
  <c r="E206" i="1" s="1"/>
  <c r="E188" i="1" a="1"/>
  <c r="E188" i="1" s="1"/>
  <c r="E197" i="1" a="1"/>
  <c r="E197" i="1" s="1"/>
  <c r="E198" i="1" a="1"/>
  <c r="E198" i="1" s="1"/>
  <c r="E199" i="1" a="1"/>
  <c r="E199" i="1" s="1"/>
  <c r="E189" i="1" a="1"/>
  <c r="E189" i="1" s="1"/>
  <c r="E182" i="1" a="1"/>
  <c r="E182" i="1" s="1"/>
  <c r="E155" i="1" a="1"/>
  <c r="E155" i="1" s="1"/>
  <c r="E164" i="1" a="1"/>
  <c r="E164" i="1" s="1"/>
  <c r="E174" i="1" a="1"/>
  <c r="E174" i="1" s="1"/>
  <c r="E156" i="1" a="1"/>
  <c r="E156" i="1" s="1"/>
  <c r="E175" i="1" a="1"/>
  <c r="E175" i="1" s="1"/>
  <c r="E157" i="1" a="1"/>
  <c r="E157" i="1" s="1"/>
  <c r="E176" i="1" a="1"/>
  <c r="E176" i="1" s="1"/>
  <c r="E167" i="1" a="1"/>
  <c r="E167" i="1" s="1"/>
  <c r="E168" i="1" a="1"/>
  <c r="E168" i="1" s="1"/>
  <c r="E177" i="1" a="1"/>
  <c r="E177" i="1" s="1"/>
  <c r="E160" i="1" a="1"/>
  <c r="E160" i="1" s="1"/>
  <c r="E169" i="1" a="1"/>
  <c r="E169" i="1" s="1"/>
  <c r="E178" i="1" a="1"/>
  <c r="E178" i="1" s="1"/>
  <c r="E161" i="1" a="1"/>
  <c r="E161" i="1" s="1"/>
  <c r="E170" i="1" a="1"/>
  <c r="E170" i="1" s="1"/>
  <c r="E154" i="1" a="1"/>
  <c r="E154" i="1" s="1"/>
  <c r="E153" i="1" a="1"/>
  <c r="E153" i="1" s="1"/>
  <c r="E162" i="1" a="1"/>
  <c r="E162" i="1" s="1"/>
  <c r="E171" i="1" a="1"/>
  <c r="E171" i="1" s="1"/>
  <c r="E163" i="1" a="1"/>
  <c r="E163" i="1" s="1"/>
  <c r="E209" i="1" a="1"/>
  <c r="E209" i="1" s="1"/>
  <c r="E293" i="1" a="1"/>
  <c r="E293" i="1" s="1"/>
  <c r="E9" i="1" a="1"/>
  <c r="E9" i="1" s="1"/>
  <c r="E27" i="1" a="1"/>
  <c r="E27" i="1" s="1"/>
  <c r="E10" i="1" a="1"/>
  <c r="E10" i="1" s="1"/>
  <c r="E28" i="1" a="1"/>
  <c r="E28" i="1" s="1"/>
  <c r="E8" i="1" a="1"/>
  <c r="E8" i="1" s="1"/>
  <c r="E3" i="1" a="1"/>
  <c r="E3" i="1" s="1"/>
  <c r="E20" i="1" a="1"/>
  <c r="E20" i="1" s="1"/>
  <c r="E29" i="1" a="1"/>
  <c r="E29" i="1" s="1"/>
  <c r="E30" i="1" a="1"/>
  <c r="E30" i="1" s="1"/>
  <c r="E21" i="1" a="1"/>
  <c r="E21" i="1" s="1"/>
  <c r="E13" i="1" a="1"/>
  <c r="E13" i="1" s="1"/>
  <c r="E22" i="1" a="1"/>
  <c r="E22" i="1" s="1"/>
  <c r="E31" i="1" a="1"/>
  <c r="E31" i="1" s="1"/>
  <c r="E14" i="1" a="1"/>
  <c r="E14" i="1" s="1"/>
  <c r="E23" i="1" a="1"/>
  <c r="E23" i="1" s="1"/>
  <c r="E6" i="1" a="1"/>
  <c r="E6" i="1" s="1"/>
  <c r="E24" i="1" a="1"/>
  <c r="E24" i="1" s="1"/>
  <c r="E15" i="1" a="1"/>
  <c r="E15" i="1" s="1"/>
  <c r="E17" i="1" a="1"/>
  <c r="E17" i="1" s="1"/>
  <c r="E7" i="1" a="1"/>
  <c r="E7" i="1" s="1"/>
  <c r="E16" i="1" a="1"/>
  <c r="E16" i="1" s="1"/>
  <c r="E358" i="1" a="1"/>
  <c r="E358" i="1" s="1"/>
  <c r="E349" i="1" a="1"/>
  <c r="E349" i="1" s="1"/>
  <c r="E350" i="1" a="1"/>
  <c r="E350" i="1" s="1"/>
  <c r="E359" i="1" a="1"/>
  <c r="E359" i="1" s="1"/>
  <c r="E342" i="1" a="1"/>
  <c r="E342" i="1" s="1"/>
  <c r="E351" i="1" a="1"/>
  <c r="E351" i="1" s="1"/>
  <c r="E352" i="1" a="1"/>
  <c r="E352" i="1" s="1"/>
  <c r="E343" i="1" a="1"/>
  <c r="E343" i="1" s="1"/>
  <c r="E344" i="1" a="1"/>
  <c r="E344" i="1" s="1"/>
  <c r="E353" i="1" a="1"/>
  <c r="E353" i="1" s="1"/>
  <c r="E336" i="1" a="1"/>
  <c r="E336" i="1" s="1"/>
  <c r="E345" i="1" a="1"/>
  <c r="E345" i="1" s="1"/>
  <c r="E363" i="1" a="1"/>
  <c r="E363" i="1" s="1"/>
  <c r="E337" i="1" a="1"/>
  <c r="E337" i="1" s="1"/>
  <c r="E346" i="1" a="1"/>
  <c r="E346" i="1" s="1"/>
  <c r="E364" i="1" a="1"/>
  <c r="E364" i="1" s="1"/>
  <c r="E338" i="1" a="1"/>
  <c r="E338" i="1" s="1"/>
  <c r="E356" i="1" a="1"/>
  <c r="E356" i="1" s="1"/>
  <c r="E365" i="1" a="1"/>
  <c r="E365" i="1" s="1"/>
  <c r="E366" i="1" a="1"/>
  <c r="E366" i="1" s="1"/>
  <c r="G3" i="2"/>
  <c r="G5" i="2"/>
  <c r="G4" i="2"/>
  <c r="G6" i="2"/>
  <c r="F367" i="1" l="1"/>
  <c r="E127" i="1" a="1"/>
  <c r="E127" i="1" s="1"/>
  <c r="E128" i="1" a="1"/>
  <c r="E128" i="1" s="1"/>
  <c r="E146" i="1" a="1"/>
  <c r="E146" i="1" s="1"/>
  <c r="E129" i="1" a="1"/>
  <c r="E129" i="1" s="1"/>
  <c r="E147" i="1" a="1"/>
  <c r="E147" i="1" s="1"/>
  <c r="E126" i="1" a="1"/>
  <c r="E126" i="1" s="1"/>
  <c r="E148" i="1" a="1"/>
  <c r="E148" i="1" s="1"/>
  <c r="E122" i="1" a="1"/>
  <c r="E122" i="1" s="1"/>
  <c r="E140" i="1" a="1"/>
  <c r="E140" i="1" s="1"/>
  <c r="E149" i="1" a="1"/>
  <c r="E149" i="1" s="1"/>
  <c r="E150" i="1" a="1"/>
  <c r="E150" i="1" s="1"/>
  <c r="E132" i="1" a="1"/>
  <c r="E132" i="1" s="1"/>
  <c r="E141" i="1" a="1"/>
  <c r="E141" i="1" s="1"/>
  <c r="E142" i="1" a="1"/>
  <c r="E142" i="1" s="1"/>
  <c r="E133" i="1" a="1"/>
  <c r="E133" i="1" s="1"/>
  <c r="E134" i="1" a="1"/>
  <c r="E134" i="1" s="1"/>
  <c r="E143" i="1" a="1"/>
  <c r="E143" i="1" s="1"/>
  <c r="E135" i="1" a="1"/>
  <c r="E135" i="1" s="1"/>
  <c r="E125" i="1" a="1"/>
  <c r="E125" i="1" s="1"/>
  <c r="E136" i="1" a="1"/>
  <c r="E136" i="1" s="1"/>
  <c r="E63" i="1" a="1"/>
  <c r="E63" i="1" s="1"/>
  <c r="E64" i="1" a="1"/>
  <c r="E64" i="1" s="1"/>
  <c r="E73" i="1" a="1"/>
  <c r="E73" i="1" s="1"/>
  <c r="E91" i="1" a="1"/>
  <c r="E91" i="1" s="1"/>
  <c r="E65" i="1" a="1"/>
  <c r="E65" i="1" s="1"/>
  <c r="E83" i="1" a="1"/>
  <c r="E83" i="1" s="1"/>
  <c r="E62" i="1" a="1"/>
  <c r="E62" i="1" s="1"/>
  <c r="E66" i="1" a="1"/>
  <c r="E66" i="1" s="1"/>
  <c r="E84" i="1" a="1"/>
  <c r="E84" i="1" s="1"/>
  <c r="E76" i="1" a="1"/>
  <c r="E76" i="1" s="1"/>
  <c r="E85" i="1" a="1"/>
  <c r="E85" i="1" s="1"/>
  <c r="E86" i="1" a="1"/>
  <c r="E86" i="1" s="1"/>
  <c r="E77" i="1" a="1"/>
  <c r="E77" i="1" s="1"/>
  <c r="E78" i="1" a="1"/>
  <c r="E78" i="1" s="1"/>
  <c r="E87" i="1" a="1"/>
  <c r="E87" i="1" s="1"/>
  <c r="E69" i="1" a="1"/>
  <c r="E69" i="1" s="1"/>
  <c r="E70" i="1" a="1"/>
  <c r="E70" i="1" s="1"/>
  <c r="E79" i="1" a="1"/>
  <c r="E79" i="1" s="1"/>
  <c r="E72" i="1" a="1"/>
  <c r="E72" i="1" s="1"/>
  <c r="E80" i="1" a="1"/>
  <c r="E80" i="1" s="1"/>
  <c r="E71" i="1" a="1"/>
  <c r="E71" i="1" s="1"/>
  <c r="E90" i="1" a="1"/>
  <c r="E90" i="1" s="1"/>
  <c r="E118" i="1" a="1"/>
  <c r="E118" i="1" s="1"/>
  <c r="E100" i="1" a="1"/>
  <c r="E100" i="1" s="1"/>
  <c r="E119" i="1" a="1"/>
  <c r="E119" i="1" s="1"/>
  <c r="E92" i="1" a="1"/>
  <c r="E92" i="1" s="1"/>
  <c r="E101" i="1" a="1"/>
  <c r="E101" i="1" s="1"/>
  <c r="E120" i="1" a="1"/>
  <c r="E120" i="1" s="1"/>
  <c r="E111" i="1" a="1"/>
  <c r="E111" i="1" s="1"/>
  <c r="E93" i="1" a="1"/>
  <c r="E93" i="1" s="1"/>
  <c r="E112" i="1" a="1"/>
  <c r="E112" i="1" s="1"/>
  <c r="E121" i="1" a="1"/>
  <c r="E121" i="1" s="1"/>
  <c r="E104" i="1" a="1"/>
  <c r="E104" i="1" s="1"/>
  <c r="E113" i="1" a="1"/>
  <c r="E113" i="1" s="1"/>
  <c r="E105" i="1" a="1"/>
  <c r="E105" i="1" s="1"/>
  <c r="E114" i="1" a="1"/>
  <c r="E114" i="1" s="1"/>
  <c r="E97" i="1" a="1"/>
  <c r="E97" i="1" s="1"/>
  <c r="E106" i="1" a="1"/>
  <c r="E106" i="1" s="1"/>
  <c r="E115" i="1" a="1"/>
  <c r="E115" i="1" s="1"/>
  <c r="E99" i="1" a="1"/>
  <c r="E99" i="1" s="1"/>
  <c r="E98" i="1" a="1"/>
  <c r="E98" i="1" s="1"/>
  <c r="E107" i="1" a="1"/>
  <c r="E107" i="1" s="1"/>
  <c r="E108" i="1" a="1"/>
  <c r="E108" i="1" s="1"/>
  <c r="E36" i="1" a="1"/>
  <c r="E36" i="1" s="1"/>
  <c r="E45" i="1" a="1"/>
  <c r="E45" i="1" s="1"/>
  <c r="E55" i="1" a="1"/>
  <c r="E55" i="1" s="1"/>
  <c r="E37" i="1" a="1"/>
  <c r="E37" i="1" s="1"/>
  <c r="E56" i="1" a="1"/>
  <c r="E56" i="1" s="1"/>
  <c r="E38" i="1" a="1"/>
  <c r="E38" i="1" s="1"/>
  <c r="E57" i="1" a="1"/>
  <c r="E57" i="1" s="1"/>
  <c r="E49" i="1" a="1"/>
  <c r="E49" i="1" s="1"/>
  <c r="E367" i="1" s="1"/>
  <c r="E58" i="1" a="1"/>
  <c r="E58" i="1" s="1"/>
  <c r="E41" i="1" a="1"/>
  <c r="E41" i="1" s="1"/>
  <c r="E50" i="1" a="1"/>
  <c r="E50" i="1" s="1"/>
  <c r="E59" i="1" a="1"/>
  <c r="E59" i="1" s="1"/>
  <c r="E42" i="1" a="1"/>
  <c r="E42" i="1" s="1"/>
  <c r="E51" i="1" a="1"/>
  <c r="E51" i="1" s="1"/>
  <c r="E44" i="1" a="1"/>
  <c r="E44" i="1" s="1"/>
  <c r="E34" i="1" a="1"/>
  <c r="E34" i="1" s="1"/>
  <c r="E43" i="1" a="1"/>
  <c r="E43" i="1" s="1"/>
  <c r="E52" i="1" a="1"/>
  <c r="E52" i="1" s="1"/>
  <c r="E35" i="1" a="1"/>
  <c r="E35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<sst xmlns="http://schemas.openxmlformats.org/spreadsheetml/2006/main" count="385" uniqueCount="20">
  <si>
    <t>Date</t>
  </si>
  <si>
    <t>DayType</t>
  </si>
  <si>
    <t>MaintenanceHours</t>
  </si>
  <si>
    <t>ConstructionHours</t>
  </si>
  <si>
    <t>Stat</t>
  </si>
  <si>
    <t>Weekday</t>
  </si>
  <si>
    <t>Weekend</t>
  </si>
  <si>
    <t>Month</t>
  </si>
  <si>
    <t>Construction Hours</t>
  </si>
  <si>
    <t>Construction Revenue</t>
  </si>
  <si>
    <t>Maintenance Hours</t>
  </si>
  <si>
    <t>Maintenance Revenue</t>
  </si>
  <si>
    <t xml:space="preserve"> -   </t>
  </si>
  <si>
    <t xml:space="preserve"> $-   </t>
  </si>
  <si>
    <t xml:space="preserve"> </t>
  </si>
  <si>
    <t>DailyCon</t>
  </si>
  <si>
    <t>DailyMain</t>
  </si>
  <si>
    <t>MainWorkdays</t>
  </si>
  <si>
    <t>ConWorkdays</t>
  </si>
  <si>
    <t>DailyCons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</si>
</sst>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;[Red]\-&quot;$&quot;#,##0.00"/>
    <numFmt numFmtId="43" formatCode="_-* #,##0.00_-;\-* #,##0.00_-;_-* &quot;-&quot;??_-;_-@_-"/>
    <numFmt numFmtId="166" formatCode="_-* #,##0_-;\-* #,##0_-;_-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14" fontId="0" fillId="0" borderId="0" xfId="0" applyNumberFormat="1"/>
    <xf numFmtId="16" fontId="0" fillId="0" borderId="0" xfId="0" applyNumberFormat="1"/>
    <xf numFmtId="8" fontId="0" fillId="0" borderId="0" xfId="0" applyNumberFormat="1"/>
    <xf numFmtId="3" fontId="0" fillId="0" borderId="0" xfId="0" applyNumberFormat="1"/>
    <xf numFmtId="0" fontId="2" fillId="0" borderId="1" xfId="0" applyFont="1" applyBorder="1"/>
    <xf numFmtId="0" fontId="2" fillId="0" borderId="0" xfId="0" applyFont="1" applyFill="1" applyBorder="1"/>
    <xf numFmtId="166" fontId="0" fillId="0" borderId="0" xfId="1" applyNumberFormat="1" applyFont="1"/>
  </cellXfs>
  <cellStyles count="2">
    <cellStyle name="Comma" xfId="1" builtinId="3"/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_-* #,##0_-;\-* #,##0_-;_-* &quot;-&quot;??_-;_-@_-"/>
    </dxf>
    <dxf>
      <numFmt numFmtId="19" formatCode="yyyy/mm/dd"/>
    </dxf>
    <dxf>
      <numFmt numFmtId="166" formatCode="_-* #,##0_-;\-* #,##0_-;_-* &quot;-&quot;??_-;_-@_-"/>
    </dxf>
    <dxf>
      <numFmt numFmtId="166" formatCode="_-* #,##0_-;\-* #,##0_-;_-* &quot;-&quot;??_-;_-@_-"/>
    </dxf>
    <dxf>
      <numFmt numFmtId="19" formatCode="yyyy/mm/dd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D00660F-19DF-4927-9F58-3F424FFC879E}" name="Table2" displayName="Table2" ref="A1:F367" totalsRowCount="1">
  <autoFilter ref="A1:F366" xr:uid="{6D00660F-19DF-4927-9F58-3F424FFC879E}"/>
  <tableColumns count="6">
    <tableColumn id="1" xr3:uid="{D38408FA-161C-4543-B7F0-85AB03C830F5}" name="Date" dataDxfId="5" totalsRowDxfId="2"/>
    <tableColumn id="2" xr3:uid="{C5B0C1AB-DE3A-40B8-8CE2-A299EFA28808}" name="DayType"/>
    <tableColumn id="3" xr3:uid="{B48FFE3A-4EBB-4651-B052-F841FD7C6010}" name="MaintenanceHours"/>
    <tableColumn id="4" xr3:uid="{EFC300EC-484C-4560-AC2B-F2B7014237B9}" name="ConstructionHours"/>
    <tableColumn id="5" xr3:uid="{5BF1C146-02C1-47AE-8CF4-8830B05E64B0}" name="DailyMain" totalsRowFunction="sum" dataDxfId="4" totalsRowDxfId="1" dataCellStyle="Comma" totalsRowCellStyle="Comma"/>
    <tableColumn id="7" xr3:uid="{5B883F64-A8B0-4FEF-A66E-24CA0471A90B}" name="DailyCons" totalsRowFunction="sum" dataDxfId="3" totalsRowDxfId="0" dataCellStyle="Comma" totalsRowCellStyle="Comma">
      <calculatedColumnFormula array="1">IF($D2=10,INDEX(targets!$F$2:$F$13,MONTH($A2)),0)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2ADF478-0566-4BAB-AC8C-94EE843ADC48}">
  <we:reference id="WA200009404" version="1.0.0.5" store="Omex" storeType="OMEX"/>
  <we:alternateReferences>
    <we:reference id="WA200009404" version="1.0.0.5" store="WA200009404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DD6D6-B02C-4B57-9D6F-2323793B190A}">
  <dimension ref="A1:F370"/>
  <sheetViews>
    <sheetView tabSelected="1" workbookViewId="0">
      <selection activeCell="H15" sqref="H15"/>
    </sheetView>
  </sheetViews>
  <sheetFormatPr defaultRowHeight="14.4" x14ac:dyDescent="0.3"/>
  <cols>
    <col min="1" max="1" width="10.33203125" customWidth="1"/>
    <col min="2" max="2" width="9.88671875" customWidth="1"/>
    <col min="3" max="4" width="18.44140625" customWidth="1"/>
    <col min="5" max="5" width="9.88671875" style="7" bestFit="1" customWidth="1"/>
    <col min="6" max="6" width="11.44140625" style="7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s="7" t="s">
        <v>16</v>
      </c>
      <c r="F1" s="7" t="s">
        <v>19</v>
      </c>
    </row>
    <row r="2" spans="1:6" x14ac:dyDescent="0.3">
      <c r="A2" s="1">
        <v>46023</v>
      </c>
      <c r="B2" t="s">
        <v>4</v>
      </c>
      <c r="C2">
        <v>0</v>
      </c>
      <c r="D2">
        <v>0</v>
      </c>
      <c r="E2" s="7" cm="1">
        <f t="array" ref="E2">IF($B2="Weekday",INDEX(targets!$G$2:$G$13,MONTH($A2)),0)</f>
        <v>0</v>
      </c>
      <c r="F2" s="7" cm="1">
        <f t="array" ref="F2">IF($D2=10,INDEX(targets!$F$2:$F$13,MONTH($A2)),0)</f>
        <v>0</v>
      </c>
    </row>
    <row r="3" spans="1:6" x14ac:dyDescent="0.3">
      <c r="A3" s="1">
        <v>46024</v>
      </c>
      <c r="B3" t="s">
        <v>5</v>
      </c>
      <c r="C3">
        <v>0</v>
      </c>
      <c r="D3">
        <v>10</v>
      </c>
      <c r="E3" s="7" cm="1">
        <f t="array" ref="E3">IF($B3="Weekday",INDEX(targets!$G$2:$G$13,MONTH($A3)),0)</f>
        <v>0</v>
      </c>
      <c r="F3" s="7" cm="1">
        <f t="array" ref="F3">IF($D3=10,INDEX(targets!$F$2:$F$13,MONTH($A3)),0)</f>
        <v>23.411764705882351</v>
      </c>
    </row>
    <row r="4" spans="1:6" x14ac:dyDescent="0.3">
      <c r="A4" s="1">
        <v>46025</v>
      </c>
      <c r="B4" t="s">
        <v>6</v>
      </c>
      <c r="C4">
        <v>0</v>
      </c>
      <c r="D4">
        <v>0</v>
      </c>
      <c r="E4" s="7" cm="1">
        <f t="array" ref="E4">IF($B4="Weekday",INDEX(targets!$G$2:$G$13,MONTH($A4)),0)</f>
        <v>0</v>
      </c>
      <c r="F4" s="7" cm="1">
        <f t="array" ref="F4">IF($D4=10,INDEX(targets!$F$2:$F$13,MONTH($A4)),0)</f>
        <v>0</v>
      </c>
    </row>
    <row r="5" spans="1:6" x14ac:dyDescent="0.3">
      <c r="A5" s="1">
        <v>46026</v>
      </c>
      <c r="B5" t="s">
        <v>6</v>
      </c>
      <c r="C5">
        <v>0</v>
      </c>
      <c r="D5">
        <v>0</v>
      </c>
      <c r="E5" s="7" cm="1">
        <f t="array" ref="E5">IF($B5="Weekday",INDEX(targets!$G$2:$G$13,MONTH($A5)),0)</f>
        <v>0</v>
      </c>
      <c r="F5" s="7" cm="1">
        <f t="array" ref="F5">IF($D5=10,INDEX(targets!$F$2:$F$13,MONTH($A5)),0)</f>
        <v>0</v>
      </c>
    </row>
    <row r="6" spans="1:6" x14ac:dyDescent="0.3">
      <c r="A6" s="1">
        <v>46027</v>
      </c>
      <c r="B6" t="s">
        <v>5</v>
      </c>
      <c r="C6">
        <v>0</v>
      </c>
      <c r="D6">
        <v>10</v>
      </c>
      <c r="E6" s="7" cm="1">
        <f t="array" ref="E6">IF($B6="Weekday",INDEX(targets!$G$2:$G$13,MONTH($A6)),0)</f>
        <v>0</v>
      </c>
      <c r="F6" s="7" cm="1">
        <f t="array" ref="F6">IF($D6=10,INDEX(targets!$F$2:$F$13,MONTH($A6)),0)</f>
        <v>23.411764705882351</v>
      </c>
    </row>
    <row r="7" spans="1:6" x14ac:dyDescent="0.3">
      <c r="A7" s="1">
        <v>46028</v>
      </c>
      <c r="B7" t="s">
        <v>5</v>
      </c>
      <c r="C7">
        <v>0</v>
      </c>
      <c r="D7">
        <v>10</v>
      </c>
      <c r="E7" s="7" cm="1">
        <f t="array" ref="E7">IF($B7="Weekday",INDEX(targets!$G$2:$G$13,MONTH($A7)),0)</f>
        <v>0</v>
      </c>
      <c r="F7" s="7" cm="1">
        <f t="array" ref="F7">IF($D7=10,INDEX(targets!$F$2:$F$13,MONTH($A7)),0)</f>
        <v>23.411764705882351</v>
      </c>
    </row>
    <row r="8" spans="1:6" x14ac:dyDescent="0.3">
      <c r="A8" s="1">
        <v>46029</v>
      </c>
      <c r="B8" t="s">
        <v>5</v>
      </c>
      <c r="C8">
        <v>0</v>
      </c>
      <c r="D8">
        <v>10</v>
      </c>
      <c r="E8" s="7" cm="1">
        <f t="array" ref="E8">IF($B8="Weekday",INDEX(targets!$G$2:$G$13,MONTH($A8)),0)</f>
        <v>0</v>
      </c>
      <c r="F8" s="7" cm="1">
        <f t="array" ref="F8">IF($D8=10,INDEX(targets!$F$2:$F$13,MONTH($A8)),0)</f>
        <v>23.411764705882351</v>
      </c>
    </row>
    <row r="9" spans="1:6" x14ac:dyDescent="0.3">
      <c r="A9" s="1">
        <v>46030</v>
      </c>
      <c r="B9" t="s">
        <v>5</v>
      </c>
      <c r="C9">
        <v>0</v>
      </c>
      <c r="D9">
        <v>10</v>
      </c>
      <c r="E9" s="7" cm="1">
        <f t="array" ref="E9">IF($B9="Weekday",INDEX(targets!$G$2:$G$13,MONTH($A9)),0)</f>
        <v>0</v>
      </c>
      <c r="F9" s="7" cm="1">
        <f t="array" ref="F9">IF($D9=10,INDEX(targets!$F$2:$F$13,MONTH($A9)),0)</f>
        <v>23.411764705882351</v>
      </c>
    </row>
    <row r="10" spans="1:6" x14ac:dyDescent="0.3">
      <c r="A10" s="1">
        <v>46031</v>
      </c>
      <c r="B10" t="s">
        <v>5</v>
      </c>
      <c r="C10">
        <v>0</v>
      </c>
      <c r="D10">
        <v>0</v>
      </c>
      <c r="E10" s="7" cm="1">
        <f t="array" ref="E10">IF($B10="Weekday",INDEX(targets!$G$2:$G$13,MONTH($A10)),0)</f>
        <v>0</v>
      </c>
      <c r="F10" s="7" cm="1">
        <f t="array" ref="F10">IF($D10=10,INDEX(targets!$F$2:$F$13,MONTH($A10)),0)</f>
        <v>0</v>
      </c>
    </row>
    <row r="11" spans="1:6" x14ac:dyDescent="0.3">
      <c r="A11" s="1">
        <v>46032</v>
      </c>
      <c r="B11" t="s">
        <v>6</v>
      </c>
      <c r="C11">
        <v>0</v>
      </c>
      <c r="D11">
        <v>0</v>
      </c>
      <c r="E11" s="7" cm="1">
        <f t="array" ref="E11">IF($B11="Weekday",INDEX(targets!$G$2:$G$13,MONTH($A11)),0)</f>
        <v>0</v>
      </c>
      <c r="F11" s="7" cm="1">
        <f t="array" ref="F11">IF($D11=10,INDEX(targets!$F$2:$F$13,MONTH($A11)),0)</f>
        <v>0</v>
      </c>
    </row>
    <row r="12" spans="1:6" x14ac:dyDescent="0.3">
      <c r="A12" s="1">
        <v>46033</v>
      </c>
      <c r="B12" t="s">
        <v>6</v>
      </c>
      <c r="C12">
        <v>0</v>
      </c>
      <c r="D12">
        <v>0</v>
      </c>
      <c r="E12" s="7" cm="1">
        <f t="array" ref="E12">IF($B12="Weekday",INDEX(targets!$G$2:$G$13,MONTH($A12)),0)</f>
        <v>0</v>
      </c>
      <c r="F12" s="7" cm="1">
        <f t="array" ref="F12">IF($D12=10,INDEX(targets!$F$2:$F$13,MONTH($A12)),0)</f>
        <v>0</v>
      </c>
    </row>
    <row r="13" spans="1:6" x14ac:dyDescent="0.3">
      <c r="A13" s="1">
        <v>46034</v>
      </c>
      <c r="B13" t="s">
        <v>5</v>
      </c>
      <c r="C13">
        <v>0</v>
      </c>
      <c r="D13">
        <v>10</v>
      </c>
      <c r="E13" s="7" cm="1">
        <f t="array" ref="E13">IF($B13="Weekday",INDEX(targets!$G$2:$G$13,MONTH($A13)),0)</f>
        <v>0</v>
      </c>
      <c r="F13" s="7" cm="1">
        <f t="array" ref="F13">IF($D13=10,INDEX(targets!$F$2:$F$13,MONTH($A13)),0)</f>
        <v>23.411764705882351</v>
      </c>
    </row>
    <row r="14" spans="1:6" x14ac:dyDescent="0.3">
      <c r="A14" s="1">
        <v>46035</v>
      </c>
      <c r="B14" t="s">
        <v>5</v>
      </c>
      <c r="C14">
        <v>0</v>
      </c>
      <c r="D14">
        <v>10</v>
      </c>
      <c r="E14" s="7" cm="1">
        <f t="array" ref="E14">IF($B14="Weekday",INDEX(targets!$G$2:$G$13,MONTH($A14)),0)</f>
        <v>0</v>
      </c>
      <c r="F14" s="7" cm="1">
        <f t="array" ref="F14">IF($D14=10,INDEX(targets!$F$2:$F$13,MONTH($A14)),0)</f>
        <v>23.411764705882351</v>
      </c>
    </row>
    <row r="15" spans="1:6" x14ac:dyDescent="0.3">
      <c r="A15" s="1">
        <v>46036</v>
      </c>
      <c r="B15" t="s">
        <v>5</v>
      </c>
      <c r="C15">
        <v>0</v>
      </c>
      <c r="D15">
        <v>10</v>
      </c>
      <c r="E15" s="7" cm="1">
        <f t="array" ref="E15">IF($B15="Weekday",INDEX(targets!$G$2:$G$13,MONTH($A15)),0)</f>
        <v>0</v>
      </c>
      <c r="F15" s="7" cm="1">
        <f t="array" ref="F15">IF($D15=10,INDEX(targets!$F$2:$F$13,MONTH($A15)),0)</f>
        <v>23.411764705882351</v>
      </c>
    </row>
    <row r="16" spans="1:6" x14ac:dyDescent="0.3">
      <c r="A16" s="1">
        <v>46037</v>
      </c>
      <c r="B16" t="s">
        <v>5</v>
      </c>
      <c r="C16">
        <v>0</v>
      </c>
      <c r="D16">
        <v>10</v>
      </c>
      <c r="E16" s="7" cm="1">
        <f t="array" ref="E16">IF($B16="Weekday",INDEX(targets!$G$2:$G$13,MONTH($A16)),0)</f>
        <v>0</v>
      </c>
      <c r="F16" s="7" cm="1">
        <f t="array" ref="F16">IF($D16=10,INDEX(targets!$F$2:$F$13,MONTH($A16)),0)</f>
        <v>23.411764705882351</v>
      </c>
    </row>
    <row r="17" spans="1:6" x14ac:dyDescent="0.3">
      <c r="A17" s="1">
        <v>46038</v>
      </c>
      <c r="B17" t="s">
        <v>5</v>
      </c>
      <c r="C17">
        <v>0</v>
      </c>
      <c r="D17">
        <v>0</v>
      </c>
      <c r="E17" s="7" cm="1">
        <f t="array" ref="E17">IF($B17="Weekday",INDEX(targets!$G$2:$G$13,MONTH($A17)),0)</f>
        <v>0</v>
      </c>
      <c r="F17" s="7" cm="1">
        <f t="array" ref="F17">IF($D17=10,INDEX(targets!$F$2:$F$13,MONTH($A17)),0)</f>
        <v>0</v>
      </c>
    </row>
    <row r="18" spans="1:6" x14ac:dyDescent="0.3">
      <c r="A18" s="1">
        <v>46039</v>
      </c>
      <c r="B18" t="s">
        <v>6</v>
      </c>
      <c r="C18">
        <v>0</v>
      </c>
      <c r="D18">
        <v>0</v>
      </c>
      <c r="E18" s="7" cm="1">
        <f t="array" ref="E18">IF($B18="Weekday",INDEX(targets!$G$2:$G$13,MONTH($A18)),0)</f>
        <v>0</v>
      </c>
      <c r="F18" s="7" cm="1">
        <f t="array" ref="F18">IF($D18=10,INDEX(targets!$F$2:$F$13,MONTH($A18)),0)</f>
        <v>0</v>
      </c>
    </row>
    <row r="19" spans="1:6" x14ac:dyDescent="0.3">
      <c r="A19" s="1">
        <v>46040</v>
      </c>
      <c r="B19" t="s">
        <v>6</v>
      </c>
      <c r="C19">
        <v>0</v>
      </c>
      <c r="D19">
        <v>0</v>
      </c>
      <c r="E19" s="7" cm="1">
        <f t="array" ref="E19">IF($B19="Weekday",INDEX(targets!$G$2:$G$13,MONTH($A19)),0)</f>
        <v>0</v>
      </c>
      <c r="F19" s="7" cm="1">
        <f t="array" ref="F19">IF($D19=10,INDEX(targets!$F$2:$F$13,MONTH($A19)),0)</f>
        <v>0</v>
      </c>
    </row>
    <row r="20" spans="1:6" x14ac:dyDescent="0.3">
      <c r="A20" s="1">
        <v>46041</v>
      </c>
      <c r="B20" t="s">
        <v>5</v>
      </c>
      <c r="C20">
        <v>0</v>
      </c>
      <c r="D20">
        <v>10</v>
      </c>
      <c r="E20" s="7" cm="1">
        <f t="array" ref="E20">IF($B20="Weekday",INDEX(targets!$G$2:$G$13,MONTH($A20)),0)</f>
        <v>0</v>
      </c>
      <c r="F20" s="7" cm="1">
        <f t="array" ref="F20">IF($D20=10,INDEX(targets!$F$2:$F$13,MONTH($A20)),0)</f>
        <v>23.411764705882351</v>
      </c>
    </row>
    <row r="21" spans="1:6" x14ac:dyDescent="0.3">
      <c r="A21" s="1">
        <v>46042</v>
      </c>
      <c r="B21" t="s">
        <v>5</v>
      </c>
      <c r="C21">
        <v>0</v>
      </c>
      <c r="D21">
        <v>10</v>
      </c>
      <c r="E21" s="7" cm="1">
        <f t="array" ref="E21">IF($B21="Weekday",INDEX(targets!$G$2:$G$13,MONTH($A21)),0)</f>
        <v>0</v>
      </c>
      <c r="F21" s="7" cm="1">
        <f t="array" ref="F21">IF($D21=10,INDEX(targets!$F$2:$F$13,MONTH($A21)),0)</f>
        <v>23.411764705882351</v>
      </c>
    </row>
    <row r="22" spans="1:6" x14ac:dyDescent="0.3">
      <c r="A22" s="1">
        <v>46043</v>
      </c>
      <c r="B22" t="s">
        <v>5</v>
      </c>
      <c r="C22">
        <v>0</v>
      </c>
      <c r="D22">
        <v>10</v>
      </c>
      <c r="E22" s="7" cm="1">
        <f t="array" ref="E22">IF($B22="Weekday",INDEX(targets!$G$2:$G$13,MONTH($A22)),0)</f>
        <v>0</v>
      </c>
      <c r="F22" s="7" cm="1">
        <f t="array" ref="F22">IF($D22=10,INDEX(targets!$F$2:$F$13,MONTH($A22)),0)</f>
        <v>23.411764705882351</v>
      </c>
    </row>
    <row r="23" spans="1:6" x14ac:dyDescent="0.3">
      <c r="A23" s="1">
        <v>46044</v>
      </c>
      <c r="B23" t="s">
        <v>5</v>
      </c>
      <c r="C23">
        <v>0</v>
      </c>
      <c r="D23">
        <v>10</v>
      </c>
      <c r="E23" s="7" cm="1">
        <f t="array" ref="E23">IF($B23="Weekday",INDEX(targets!$G$2:$G$13,MONTH($A23)),0)</f>
        <v>0</v>
      </c>
      <c r="F23" s="7" cm="1">
        <f t="array" ref="F23">IF($D23=10,INDEX(targets!$F$2:$F$13,MONTH($A23)),0)</f>
        <v>23.411764705882351</v>
      </c>
    </row>
    <row r="24" spans="1:6" x14ac:dyDescent="0.3">
      <c r="A24" s="1">
        <v>46045</v>
      </c>
      <c r="B24" t="s">
        <v>5</v>
      </c>
      <c r="C24">
        <v>0</v>
      </c>
      <c r="D24">
        <v>0</v>
      </c>
      <c r="E24" s="7" cm="1">
        <f t="array" ref="E24">IF($B24="Weekday",INDEX(targets!$G$2:$G$13,MONTH($A24)),0)</f>
        <v>0</v>
      </c>
      <c r="F24" s="7" cm="1">
        <f t="array" ref="F24">IF($D24=10,INDEX(targets!$F$2:$F$13,MONTH($A24)),0)</f>
        <v>0</v>
      </c>
    </row>
    <row r="25" spans="1:6" x14ac:dyDescent="0.3">
      <c r="A25" s="1">
        <v>46046</v>
      </c>
      <c r="B25" t="s">
        <v>6</v>
      </c>
      <c r="C25">
        <v>0</v>
      </c>
      <c r="D25">
        <v>0</v>
      </c>
      <c r="E25" s="7" cm="1">
        <f t="array" ref="E25">IF($B25="Weekday",INDEX(targets!$G$2:$G$13,MONTH($A25)),0)</f>
        <v>0</v>
      </c>
      <c r="F25" s="7" cm="1">
        <f t="array" ref="F25">IF($D25=10,INDEX(targets!$F$2:$F$13,MONTH($A25)),0)</f>
        <v>0</v>
      </c>
    </row>
    <row r="26" spans="1:6" x14ac:dyDescent="0.3">
      <c r="A26" s="1">
        <v>46047</v>
      </c>
      <c r="B26" t="s">
        <v>6</v>
      </c>
      <c r="C26">
        <v>0</v>
      </c>
      <c r="D26">
        <v>0</v>
      </c>
      <c r="E26" s="7" cm="1">
        <f t="array" ref="E26">IF($B26="Weekday",INDEX(targets!$G$2:$G$13,MONTH($A26)),0)</f>
        <v>0</v>
      </c>
      <c r="F26" s="7" cm="1">
        <f t="array" ref="F26">IF($D26=10,INDEX(targets!$F$2:$F$13,MONTH($A26)),0)</f>
        <v>0</v>
      </c>
    </row>
    <row r="27" spans="1:6" x14ac:dyDescent="0.3">
      <c r="A27" s="1">
        <v>46048</v>
      </c>
      <c r="B27" t="s">
        <v>5</v>
      </c>
      <c r="C27">
        <v>0</v>
      </c>
      <c r="D27">
        <v>10</v>
      </c>
      <c r="E27" s="7" cm="1">
        <f t="array" ref="E27">IF($B27="Weekday",INDEX(targets!$G$2:$G$13,MONTH($A27)),0)</f>
        <v>0</v>
      </c>
      <c r="F27" s="7" cm="1">
        <f t="array" ref="F27">IF($D27=10,INDEX(targets!$F$2:$F$13,MONTH($A27)),0)</f>
        <v>23.411764705882351</v>
      </c>
    </row>
    <row r="28" spans="1:6" x14ac:dyDescent="0.3">
      <c r="A28" s="1">
        <v>46049</v>
      </c>
      <c r="B28" t="s">
        <v>5</v>
      </c>
      <c r="C28">
        <v>0</v>
      </c>
      <c r="D28">
        <v>10</v>
      </c>
      <c r="E28" s="7" cm="1">
        <f t="array" ref="E28">IF($B28="Weekday",INDEX(targets!$G$2:$G$13,MONTH($A28)),0)</f>
        <v>0</v>
      </c>
      <c r="F28" s="7" cm="1">
        <f t="array" ref="F28">IF($D28=10,INDEX(targets!$F$2:$F$13,MONTH($A28)),0)</f>
        <v>23.411764705882351</v>
      </c>
    </row>
    <row r="29" spans="1:6" x14ac:dyDescent="0.3">
      <c r="A29" s="1">
        <v>46050</v>
      </c>
      <c r="B29" t="s">
        <v>5</v>
      </c>
      <c r="C29">
        <v>0</v>
      </c>
      <c r="D29">
        <v>10</v>
      </c>
      <c r="E29" s="7" cm="1">
        <f t="array" ref="E29">IF($B29="Weekday",INDEX(targets!$G$2:$G$13,MONTH($A29)),0)</f>
        <v>0</v>
      </c>
      <c r="F29" s="7" cm="1">
        <f t="array" ref="F29">IF($D29=10,INDEX(targets!$F$2:$F$13,MONTH($A29)),0)</f>
        <v>23.411764705882351</v>
      </c>
    </row>
    <row r="30" spans="1:6" x14ac:dyDescent="0.3">
      <c r="A30" s="1">
        <v>46051</v>
      </c>
      <c r="B30" t="s">
        <v>5</v>
      </c>
      <c r="C30">
        <v>0</v>
      </c>
      <c r="D30">
        <v>10</v>
      </c>
      <c r="E30" s="7" cm="1">
        <f t="array" ref="E30">IF($B30="Weekday",INDEX(targets!$G$2:$G$13,MONTH($A30)),0)</f>
        <v>0</v>
      </c>
      <c r="F30" s="7" cm="1">
        <f t="array" ref="F30">IF($D30=10,INDEX(targets!$F$2:$F$13,MONTH($A30)),0)</f>
        <v>23.411764705882351</v>
      </c>
    </row>
    <row r="31" spans="1:6" x14ac:dyDescent="0.3">
      <c r="A31" s="1">
        <v>46052</v>
      </c>
      <c r="B31" t="s">
        <v>5</v>
      </c>
      <c r="C31">
        <v>0</v>
      </c>
      <c r="D31">
        <v>0</v>
      </c>
      <c r="E31" s="7" cm="1">
        <f t="array" ref="E31">IF($B31="Weekday",INDEX(targets!$G$2:$G$13,MONTH($A31)),0)</f>
        <v>0</v>
      </c>
      <c r="F31" s="7" cm="1">
        <f t="array" ref="F31">IF($D31=10,INDEX(targets!$F$2:$F$13,MONTH($A31)),0)</f>
        <v>0</v>
      </c>
    </row>
    <row r="32" spans="1:6" x14ac:dyDescent="0.3">
      <c r="A32" s="1">
        <v>46053</v>
      </c>
      <c r="B32" t="s">
        <v>6</v>
      </c>
      <c r="C32">
        <v>0</v>
      </c>
      <c r="D32">
        <v>0</v>
      </c>
      <c r="E32" s="7" cm="1">
        <f t="array" ref="E32">IF($B32="Weekday",INDEX(targets!$G$2:$G$13,MONTH($A32)),0)</f>
        <v>0</v>
      </c>
      <c r="F32" s="7" cm="1">
        <f t="array" ref="F32">IF($D32=10,INDEX(targets!$F$2:$F$13,MONTH($A32)),0)</f>
        <v>0</v>
      </c>
    </row>
    <row r="33" spans="1:6" x14ac:dyDescent="0.3">
      <c r="A33" s="1">
        <v>46054</v>
      </c>
      <c r="B33" t="s">
        <v>6</v>
      </c>
      <c r="C33">
        <v>0</v>
      </c>
      <c r="D33">
        <v>0</v>
      </c>
      <c r="E33" s="7" cm="1">
        <f t="array" ref="E33">IF($B33="Weekday",INDEX(targets!$G$2:$G$13,MONTH($A33)),0)</f>
        <v>0</v>
      </c>
      <c r="F33" s="7" cm="1">
        <f t="array" ref="F33">IF($D33=10,INDEX(targets!$F$2:$F$13,MONTH($A33)),0)</f>
        <v>0</v>
      </c>
    </row>
    <row r="34" spans="1:6" x14ac:dyDescent="0.3">
      <c r="A34" s="1">
        <v>46055</v>
      </c>
      <c r="B34" t="s">
        <v>5</v>
      </c>
      <c r="C34">
        <v>0</v>
      </c>
      <c r="D34">
        <v>10</v>
      </c>
      <c r="E34" s="7" cm="1">
        <f t="array" ref="E34">IF($B34="Weekday",INDEX(targets!$G$2:$G$13,MONTH($A34)),0)</f>
        <v>0</v>
      </c>
      <c r="F34" s="7" cm="1">
        <f t="array" ref="F34">IF($D34=10,INDEX(targets!$F$2:$F$13,MONTH($A34)),0)</f>
        <v>26.533333333333335</v>
      </c>
    </row>
    <row r="35" spans="1:6" x14ac:dyDescent="0.3">
      <c r="A35" s="1">
        <v>46056</v>
      </c>
      <c r="B35" t="s">
        <v>5</v>
      </c>
      <c r="C35">
        <v>0</v>
      </c>
      <c r="D35">
        <v>10</v>
      </c>
      <c r="E35" s="7" cm="1">
        <f t="array" ref="E35">IF($B35="Weekday",INDEX(targets!$G$2:$G$13,MONTH($A35)),0)</f>
        <v>0</v>
      </c>
      <c r="F35" s="7" cm="1">
        <f t="array" ref="F35">IF($D35=10,INDEX(targets!$F$2:$F$13,MONTH($A35)),0)</f>
        <v>26.533333333333335</v>
      </c>
    </row>
    <row r="36" spans="1:6" x14ac:dyDescent="0.3">
      <c r="A36" s="1">
        <v>46057</v>
      </c>
      <c r="B36" t="s">
        <v>5</v>
      </c>
      <c r="C36">
        <v>0</v>
      </c>
      <c r="D36">
        <v>10</v>
      </c>
      <c r="E36" s="7" cm="1">
        <f t="array" ref="E36">IF($B36="Weekday",INDEX(targets!$G$2:$G$13,MONTH($A36)),0)</f>
        <v>0</v>
      </c>
      <c r="F36" s="7" cm="1">
        <f t="array" ref="F36">IF($D36=10,INDEX(targets!$F$2:$F$13,MONTH($A36)),0)</f>
        <v>26.533333333333335</v>
      </c>
    </row>
    <row r="37" spans="1:6" x14ac:dyDescent="0.3">
      <c r="A37" s="1">
        <v>46058</v>
      </c>
      <c r="B37" t="s">
        <v>5</v>
      </c>
      <c r="C37">
        <v>0</v>
      </c>
      <c r="D37">
        <v>10</v>
      </c>
      <c r="E37" s="7" cm="1">
        <f t="array" ref="E37">IF($B37="Weekday",INDEX(targets!$G$2:$G$13,MONTH($A37)),0)</f>
        <v>0</v>
      </c>
      <c r="F37" s="7" cm="1">
        <f t="array" ref="F37">IF($D37=10,INDEX(targets!$F$2:$F$13,MONTH($A37)),0)</f>
        <v>26.533333333333335</v>
      </c>
    </row>
    <row r="38" spans="1:6" x14ac:dyDescent="0.3">
      <c r="A38" s="1">
        <v>46059</v>
      </c>
      <c r="B38" t="s">
        <v>5</v>
      </c>
      <c r="C38">
        <v>0</v>
      </c>
      <c r="D38">
        <v>0</v>
      </c>
      <c r="E38" s="7" cm="1">
        <f t="array" ref="E38">IF($B38="Weekday",INDEX(targets!$G$2:$G$13,MONTH($A38)),0)</f>
        <v>0</v>
      </c>
      <c r="F38" s="7" cm="1">
        <f t="array" ref="F38">IF($D38=10,INDEX(targets!$F$2:$F$13,MONTH($A38)),0)</f>
        <v>0</v>
      </c>
    </row>
    <row r="39" spans="1:6" x14ac:dyDescent="0.3">
      <c r="A39" s="1">
        <v>46060</v>
      </c>
      <c r="B39" t="s">
        <v>6</v>
      </c>
      <c r="C39">
        <v>0</v>
      </c>
      <c r="D39">
        <v>0</v>
      </c>
      <c r="E39" s="7" cm="1">
        <f t="array" ref="E39">IF($B39="Weekday",INDEX(targets!$G$2:$G$13,MONTH($A39)),0)</f>
        <v>0</v>
      </c>
      <c r="F39" s="7" cm="1">
        <f t="array" ref="F39">IF($D39=10,INDEX(targets!$F$2:$F$13,MONTH($A39)),0)</f>
        <v>0</v>
      </c>
    </row>
    <row r="40" spans="1:6" x14ac:dyDescent="0.3">
      <c r="A40" s="1">
        <v>46061</v>
      </c>
      <c r="B40" t="s">
        <v>6</v>
      </c>
      <c r="C40">
        <v>0</v>
      </c>
      <c r="D40">
        <v>0</v>
      </c>
      <c r="E40" s="7" cm="1">
        <f t="array" ref="E40">IF($B40="Weekday",INDEX(targets!$G$2:$G$13,MONTH($A40)),0)</f>
        <v>0</v>
      </c>
      <c r="F40" s="7" cm="1">
        <f t="array" ref="F40">IF($D40=10,INDEX(targets!$F$2:$F$13,MONTH($A40)),0)</f>
        <v>0</v>
      </c>
    </row>
    <row r="41" spans="1:6" x14ac:dyDescent="0.3">
      <c r="A41" s="1">
        <v>46062</v>
      </c>
      <c r="B41" t="s">
        <v>5</v>
      </c>
      <c r="C41">
        <v>0</v>
      </c>
      <c r="D41">
        <v>10</v>
      </c>
      <c r="E41" s="7" cm="1">
        <f t="array" ref="E41">IF($B41="Weekday",INDEX(targets!$G$2:$G$13,MONTH($A41)),0)</f>
        <v>0</v>
      </c>
      <c r="F41" s="7" cm="1">
        <f t="array" ref="F41">IF($D41=10,INDEX(targets!$F$2:$F$13,MONTH($A41)),0)</f>
        <v>26.533333333333335</v>
      </c>
    </row>
    <row r="42" spans="1:6" x14ac:dyDescent="0.3">
      <c r="A42" s="1">
        <v>46063</v>
      </c>
      <c r="B42" t="s">
        <v>5</v>
      </c>
      <c r="C42">
        <v>0</v>
      </c>
      <c r="D42">
        <v>10</v>
      </c>
      <c r="E42" s="7" cm="1">
        <f t="array" ref="E42">IF($B42="Weekday",INDEX(targets!$G$2:$G$13,MONTH($A42)),0)</f>
        <v>0</v>
      </c>
      <c r="F42" s="7" cm="1">
        <f t="array" ref="F42">IF($D42=10,INDEX(targets!$F$2:$F$13,MONTH($A42)),0)</f>
        <v>26.533333333333335</v>
      </c>
    </row>
    <row r="43" spans="1:6" x14ac:dyDescent="0.3">
      <c r="A43" s="1">
        <v>46064</v>
      </c>
      <c r="B43" t="s">
        <v>5</v>
      </c>
      <c r="C43">
        <v>0</v>
      </c>
      <c r="D43">
        <v>10</v>
      </c>
      <c r="E43" s="7" cm="1">
        <f t="array" ref="E43">IF($B43="Weekday",INDEX(targets!$G$2:$G$13,MONTH($A43)),0)</f>
        <v>0</v>
      </c>
      <c r="F43" s="7" cm="1">
        <f t="array" ref="F43">IF($D43=10,INDEX(targets!$F$2:$F$13,MONTH($A43)),0)</f>
        <v>26.533333333333335</v>
      </c>
    </row>
    <row r="44" spans="1:6" x14ac:dyDescent="0.3">
      <c r="A44" s="1">
        <v>46065</v>
      </c>
      <c r="B44" t="s">
        <v>5</v>
      </c>
      <c r="C44">
        <v>0</v>
      </c>
      <c r="D44">
        <v>10</v>
      </c>
      <c r="E44" s="7" cm="1">
        <f t="array" ref="E44">IF($B44="Weekday",INDEX(targets!$G$2:$G$13,MONTH($A44)),0)</f>
        <v>0</v>
      </c>
      <c r="F44" s="7" cm="1">
        <f t="array" ref="F44">IF($D44=10,INDEX(targets!$F$2:$F$13,MONTH($A44)),0)</f>
        <v>26.533333333333335</v>
      </c>
    </row>
    <row r="45" spans="1:6" x14ac:dyDescent="0.3">
      <c r="A45" s="1">
        <v>46066</v>
      </c>
      <c r="B45" t="s">
        <v>5</v>
      </c>
      <c r="C45">
        <v>0</v>
      </c>
      <c r="D45">
        <v>0</v>
      </c>
      <c r="E45" s="7" cm="1">
        <f t="array" ref="E45">IF($B45="Weekday",INDEX(targets!$G$2:$G$13,MONTH($A45)),0)</f>
        <v>0</v>
      </c>
      <c r="F45" s="7" cm="1">
        <f t="array" ref="F45">IF($D45=10,INDEX(targets!$F$2:$F$13,MONTH($A45)),0)</f>
        <v>0</v>
      </c>
    </row>
    <row r="46" spans="1:6" x14ac:dyDescent="0.3">
      <c r="A46" s="1">
        <v>46067</v>
      </c>
      <c r="B46" t="s">
        <v>6</v>
      </c>
      <c r="C46">
        <v>0</v>
      </c>
      <c r="D46">
        <v>0</v>
      </c>
      <c r="E46" s="7" cm="1">
        <f t="array" ref="E46">IF($B46="Weekday",INDEX(targets!$G$2:$G$13,MONTH($A46)),0)</f>
        <v>0</v>
      </c>
      <c r="F46" s="7" cm="1">
        <f t="array" ref="F46">IF($D46=10,INDEX(targets!$F$2:$F$13,MONTH($A46)),0)</f>
        <v>0</v>
      </c>
    </row>
    <row r="47" spans="1:6" x14ac:dyDescent="0.3">
      <c r="A47" s="1">
        <v>46068</v>
      </c>
      <c r="B47" t="s">
        <v>6</v>
      </c>
      <c r="C47">
        <v>0</v>
      </c>
      <c r="D47">
        <v>0</v>
      </c>
      <c r="E47" s="7" cm="1">
        <f t="array" ref="E47">IF($B47="Weekday",INDEX(targets!$G$2:$G$13,MONTH($A47)),0)</f>
        <v>0</v>
      </c>
      <c r="F47" s="7" cm="1">
        <f t="array" ref="F47">IF($D47=10,INDEX(targets!$F$2:$F$13,MONTH($A47)),0)</f>
        <v>0</v>
      </c>
    </row>
    <row r="48" spans="1:6" x14ac:dyDescent="0.3">
      <c r="A48" s="1">
        <v>46069</v>
      </c>
      <c r="B48" t="s">
        <v>4</v>
      </c>
      <c r="C48">
        <v>0</v>
      </c>
      <c r="D48">
        <v>0</v>
      </c>
      <c r="E48" s="7" cm="1">
        <f t="array" ref="E48">IF($B48="Weekday",INDEX(targets!$G$2:$G$13,MONTH($A48)),0)</f>
        <v>0</v>
      </c>
      <c r="F48" s="7" cm="1">
        <f t="array" ref="F48">IF($D48=10,INDEX(targets!$F$2:$F$13,MONTH($A48)),0)</f>
        <v>0</v>
      </c>
    </row>
    <row r="49" spans="1:6" x14ac:dyDescent="0.3">
      <c r="A49" s="1">
        <v>46070</v>
      </c>
      <c r="B49" t="s">
        <v>5</v>
      </c>
      <c r="C49">
        <v>0</v>
      </c>
      <c r="D49">
        <v>10</v>
      </c>
      <c r="E49" s="7" cm="1">
        <f t="array" ref="E49">IF($B49="Weekday",INDEX(targets!$G$2:$G$13,MONTH($A49)),0)</f>
        <v>0</v>
      </c>
      <c r="F49" s="7" cm="1">
        <f t="array" ref="F49">IF($D49=10,INDEX(targets!$F$2:$F$13,MONTH($A49)),0)</f>
        <v>26.533333333333335</v>
      </c>
    </row>
    <row r="50" spans="1:6" x14ac:dyDescent="0.3">
      <c r="A50" s="1">
        <v>46071</v>
      </c>
      <c r="B50" t="s">
        <v>5</v>
      </c>
      <c r="C50">
        <v>0</v>
      </c>
      <c r="D50">
        <v>10</v>
      </c>
      <c r="E50" s="7" cm="1">
        <f t="array" ref="E50">IF($B50="Weekday",INDEX(targets!$G$2:$G$13,MONTH($A50)),0)</f>
        <v>0</v>
      </c>
      <c r="F50" s="7" cm="1">
        <f t="array" ref="F50">IF($D50=10,INDEX(targets!$F$2:$F$13,MONTH($A50)),0)</f>
        <v>26.533333333333335</v>
      </c>
    </row>
    <row r="51" spans="1:6" x14ac:dyDescent="0.3">
      <c r="A51" s="1">
        <v>46072</v>
      </c>
      <c r="B51" t="s">
        <v>5</v>
      </c>
      <c r="C51">
        <v>0</v>
      </c>
      <c r="D51">
        <v>10</v>
      </c>
      <c r="E51" s="7" cm="1">
        <f t="array" ref="E51">IF($B51="Weekday",INDEX(targets!$G$2:$G$13,MONTH($A51)),0)</f>
        <v>0</v>
      </c>
      <c r="F51" s="7" cm="1">
        <f t="array" ref="F51">IF($D51=10,INDEX(targets!$F$2:$F$13,MONTH($A51)),0)</f>
        <v>26.533333333333335</v>
      </c>
    </row>
    <row r="52" spans="1:6" x14ac:dyDescent="0.3">
      <c r="A52" s="1">
        <v>46073</v>
      </c>
      <c r="B52" t="s">
        <v>5</v>
      </c>
      <c r="C52">
        <v>0</v>
      </c>
      <c r="D52">
        <v>0</v>
      </c>
      <c r="E52" s="7" cm="1">
        <f t="array" ref="E52">IF($B52="Weekday",INDEX(targets!$G$2:$G$13,MONTH($A52)),0)</f>
        <v>0</v>
      </c>
      <c r="F52" s="7" cm="1">
        <f t="array" ref="F52">IF($D52=10,INDEX(targets!$F$2:$F$13,MONTH($A52)),0)</f>
        <v>0</v>
      </c>
    </row>
    <row r="53" spans="1:6" x14ac:dyDescent="0.3">
      <c r="A53" s="1">
        <v>46074</v>
      </c>
      <c r="B53" t="s">
        <v>6</v>
      </c>
      <c r="C53">
        <v>0</v>
      </c>
      <c r="D53">
        <v>0</v>
      </c>
      <c r="E53" s="7" cm="1">
        <f t="array" ref="E53">IF($B53="Weekday",INDEX(targets!$G$2:$G$13,MONTH($A53)),0)</f>
        <v>0</v>
      </c>
      <c r="F53" s="7" cm="1">
        <f t="array" ref="F53">IF($D53=10,INDEX(targets!$F$2:$F$13,MONTH($A53)),0)</f>
        <v>0</v>
      </c>
    </row>
    <row r="54" spans="1:6" x14ac:dyDescent="0.3">
      <c r="A54" s="1">
        <v>46075</v>
      </c>
      <c r="B54" t="s">
        <v>6</v>
      </c>
      <c r="C54">
        <v>0</v>
      </c>
      <c r="D54">
        <v>0</v>
      </c>
      <c r="E54" s="7" cm="1">
        <f t="array" ref="E54">IF($B54="Weekday",INDEX(targets!$G$2:$G$13,MONTH($A54)),0)</f>
        <v>0</v>
      </c>
      <c r="F54" s="7" cm="1">
        <f t="array" ref="F54">IF($D54=10,INDEX(targets!$F$2:$F$13,MONTH($A54)),0)</f>
        <v>0</v>
      </c>
    </row>
    <row r="55" spans="1:6" x14ac:dyDescent="0.3">
      <c r="A55" s="1">
        <v>46076</v>
      </c>
      <c r="B55" t="s">
        <v>5</v>
      </c>
      <c r="C55">
        <v>0</v>
      </c>
      <c r="D55">
        <v>10</v>
      </c>
      <c r="E55" s="7" cm="1">
        <f t="array" ref="E55">IF($B55="Weekday",INDEX(targets!$G$2:$G$13,MONTH($A55)),0)</f>
        <v>0</v>
      </c>
      <c r="F55" s="7" cm="1">
        <f t="array" ref="F55">IF($D55=10,INDEX(targets!$F$2:$F$13,MONTH($A55)),0)</f>
        <v>26.533333333333335</v>
      </c>
    </row>
    <row r="56" spans="1:6" x14ac:dyDescent="0.3">
      <c r="A56" s="1">
        <v>46077</v>
      </c>
      <c r="B56" t="s">
        <v>5</v>
      </c>
      <c r="C56">
        <v>0</v>
      </c>
      <c r="D56">
        <v>10</v>
      </c>
      <c r="E56" s="7" cm="1">
        <f t="array" ref="E56">IF($B56="Weekday",INDEX(targets!$G$2:$G$13,MONTH($A56)),0)</f>
        <v>0</v>
      </c>
      <c r="F56" s="7" cm="1">
        <f t="array" ref="F56">IF($D56=10,INDEX(targets!$F$2:$F$13,MONTH($A56)),0)</f>
        <v>26.533333333333335</v>
      </c>
    </row>
    <row r="57" spans="1:6" x14ac:dyDescent="0.3">
      <c r="A57" s="1">
        <v>46078</v>
      </c>
      <c r="B57" t="s">
        <v>5</v>
      </c>
      <c r="C57">
        <v>0</v>
      </c>
      <c r="D57">
        <v>10</v>
      </c>
      <c r="E57" s="7" cm="1">
        <f t="array" ref="E57">IF($B57="Weekday",INDEX(targets!$G$2:$G$13,MONTH($A57)),0)</f>
        <v>0</v>
      </c>
      <c r="F57" s="7" cm="1">
        <f t="array" ref="F57">IF($D57=10,INDEX(targets!$F$2:$F$13,MONTH($A57)),0)</f>
        <v>26.533333333333335</v>
      </c>
    </row>
    <row r="58" spans="1:6" x14ac:dyDescent="0.3">
      <c r="A58" s="1">
        <v>46079</v>
      </c>
      <c r="B58" t="s">
        <v>5</v>
      </c>
      <c r="C58">
        <v>0</v>
      </c>
      <c r="D58">
        <v>10</v>
      </c>
      <c r="E58" s="7" cm="1">
        <f t="array" ref="E58">IF($B58="Weekday",INDEX(targets!$G$2:$G$13,MONTH($A58)),0)</f>
        <v>0</v>
      </c>
      <c r="F58" s="7" cm="1">
        <f t="array" ref="F58">IF($D58=10,INDEX(targets!$F$2:$F$13,MONTH($A58)),0)</f>
        <v>26.533333333333335</v>
      </c>
    </row>
    <row r="59" spans="1:6" x14ac:dyDescent="0.3">
      <c r="A59" s="1">
        <v>46080</v>
      </c>
      <c r="B59" t="s">
        <v>5</v>
      </c>
      <c r="C59">
        <v>0</v>
      </c>
      <c r="D59">
        <v>0</v>
      </c>
      <c r="E59" s="7" cm="1">
        <f t="array" ref="E59">IF($B59="Weekday",INDEX(targets!$G$2:$G$13,MONTH($A59)),0)</f>
        <v>0</v>
      </c>
      <c r="F59" s="7" cm="1">
        <f t="array" ref="F59">IF($D59=10,INDEX(targets!$F$2:$F$13,MONTH($A59)),0)</f>
        <v>0</v>
      </c>
    </row>
    <row r="60" spans="1:6" x14ac:dyDescent="0.3">
      <c r="A60" s="1">
        <v>46081</v>
      </c>
      <c r="B60" t="s">
        <v>6</v>
      </c>
      <c r="C60">
        <v>0</v>
      </c>
      <c r="D60">
        <v>0</v>
      </c>
      <c r="E60" s="7" cm="1">
        <f t="array" ref="E60">IF($B60="Weekday",INDEX(targets!$G$2:$G$13,MONTH($A60)),0)</f>
        <v>0</v>
      </c>
      <c r="F60" s="7" cm="1">
        <f t="array" ref="F60">IF($D60=10,INDEX(targets!$F$2:$F$13,MONTH($A60)),0)</f>
        <v>0</v>
      </c>
    </row>
    <row r="61" spans="1:6" x14ac:dyDescent="0.3">
      <c r="A61" s="1">
        <v>46082</v>
      </c>
      <c r="B61" t="s">
        <v>6</v>
      </c>
      <c r="C61">
        <v>0</v>
      </c>
      <c r="D61">
        <v>0</v>
      </c>
      <c r="E61" s="7" cm="1">
        <f t="array" ref="E61">IF($B61="Weekday",INDEX(targets!$G$2:$G$13,MONTH($A61)),0)</f>
        <v>0</v>
      </c>
      <c r="F61" s="7" cm="1">
        <f t="array" ref="F61">IF($D61=10,INDEX(targets!$F$2:$F$13,MONTH($A61)),0)</f>
        <v>0</v>
      </c>
    </row>
    <row r="62" spans="1:6" x14ac:dyDescent="0.3">
      <c r="A62" s="1">
        <v>46083</v>
      </c>
      <c r="B62" t="s">
        <v>5</v>
      </c>
      <c r="C62">
        <v>8</v>
      </c>
      <c r="D62">
        <v>10</v>
      </c>
      <c r="E62" s="7" cm="1">
        <f t="array" ref="E62">IF($B62="Weekday",INDEX(targets!$G$2:$G$13,MONTH($A62)),0)</f>
        <v>134.31818181818181</v>
      </c>
      <c r="F62" s="7" cm="1">
        <f t="array" ref="F62">IF($D62=10,INDEX(targets!$F$2:$F$13,MONTH($A62)),0)</f>
        <v>44.222222222222221</v>
      </c>
    </row>
    <row r="63" spans="1:6" x14ac:dyDescent="0.3">
      <c r="A63" s="1">
        <v>46084</v>
      </c>
      <c r="B63" t="s">
        <v>5</v>
      </c>
      <c r="C63">
        <v>8</v>
      </c>
      <c r="D63">
        <v>10</v>
      </c>
      <c r="E63" s="7" cm="1">
        <f t="array" ref="E63">IF($B63="Weekday",INDEX(targets!$G$2:$G$13,MONTH($A63)),0)</f>
        <v>134.31818181818181</v>
      </c>
      <c r="F63" s="7" cm="1">
        <f t="array" ref="F63">IF($D63=10,INDEX(targets!$F$2:$F$13,MONTH($A63)),0)</f>
        <v>44.222222222222221</v>
      </c>
    </row>
    <row r="64" spans="1:6" x14ac:dyDescent="0.3">
      <c r="A64" s="1">
        <v>46085</v>
      </c>
      <c r="B64" t="s">
        <v>5</v>
      </c>
      <c r="C64">
        <v>8</v>
      </c>
      <c r="D64">
        <v>10</v>
      </c>
      <c r="E64" s="7" cm="1">
        <f t="array" ref="E64">IF($B64="Weekday",INDEX(targets!$G$2:$G$13,MONTH($A64)),0)</f>
        <v>134.31818181818181</v>
      </c>
      <c r="F64" s="7" cm="1">
        <f t="array" ref="F64">IF($D64=10,INDEX(targets!$F$2:$F$13,MONTH($A64)),0)</f>
        <v>44.222222222222221</v>
      </c>
    </row>
    <row r="65" spans="1:6" x14ac:dyDescent="0.3">
      <c r="A65" s="1">
        <v>46086</v>
      </c>
      <c r="B65" t="s">
        <v>5</v>
      </c>
      <c r="C65">
        <v>8</v>
      </c>
      <c r="D65">
        <v>10</v>
      </c>
      <c r="E65" s="7" cm="1">
        <f t="array" ref="E65">IF($B65="Weekday",INDEX(targets!$G$2:$G$13,MONTH($A65)),0)</f>
        <v>134.31818181818181</v>
      </c>
      <c r="F65" s="7" cm="1">
        <f t="array" ref="F65">IF($D65=10,INDEX(targets!$F$2:$F$13,MONTH($A65)),0)</f>
        <v>44.222222222222221</v>
      </c>
    </row>
    <row r="66" spans="1:6" x14ac:dyDescent="0.3">
      <c r="A66" s="1">
        <v>46087</v>
      </c>
      <c r="B66" t="s">
        <v>5</v>
      </c>
      <c r="C66">
        <v>8</v>
      </c>
      <c r="D66">
        <v>0</v>
      </c>
      <c r="E66" s="7" cm="1">
        <f t="array" ref="E66">IF($B66="Weekday",INDEX(targets!$G$2:$G$13,MONTH($A66)),0)</f>
        <v>134.31818181818181</v>
      </c>
      <c r="F66" s="7" cm="1">
        <f t="array" ref="F66">IF($D66=10,INDEX(targets!$F$2:$F$13,MONTH($A66)),0)</f>
        <v>0</v>
      </c>
    </row>
    <row r="67" spans="1:6" x14ac:dyDescent="0.3">
      <c r="A67" s="1">
        <v>46088</v>
      </c>
      <c r="B67" t="s">
        <v>6</v>
      </c>
      <c r="C67">
        <v>0</v>
      </c>
      <c r="D67">
        <v>0</v>
      </c>
      <c r="E67" s="7" cm="1">
        <f t="array" ref="E67">IF($B67="Weekday",INDEX(targets!$G$2:$G$13,MONTH($A67)),0)</f>
        <v>0</v>
      </c>
      <c r="F67" s="7" cm="1">
        <f t="array" ref="F67">IF($D67=10,INDEX(targets!$F$2:$F$13,MONTH($A67)),0)</f>
        <v>0</v>
      </c>
    </row>
    <row r="68" spans="1:6" x14ac:dyDescent="0.3">
      <c r="A68" s="1">
        <v>46089</v>
      </c>
      <c r="B68" t="s">
        <v>6</v>
      </c>
      <c r="C68">
        <v>0</v>
      </c>
      <c r="D68">
        <v>0</v>
      </c>
      <c r="E68" s="7" cm="1">
        <f t="array" ref="E68">IF($B68="Weekday",INDEX(targets!$G$2:$G$13,MONTH($A68)),0)</f>
        <v>0</v>
      </c>
      <c r="F68" s="7" cm="1">
        <f t="array" ref="F68">IF($D68=10,INDEX(targets!$F$2:$F$13,MONTH($A68)),0)</f>
        <v>0</v>
      </c>
    </row>
    <row r="69" spans="1:6" x14ac:dyDescent="0.3">
      <c r="A69" s="1">
        <v>46090</v>
      </c>
      <c r="B69" t="s">
        <v>5</v>
      </c>
      <c r="C69">
        <v>8</v>
      </c>
      <c r="D69">
        <v>10</v>
      </c>
      <c r="E69" s="7" cm="1">
        <f t="array" ref="E69">IF($B69="Weekday",INDEX(targets!$G$2:$G$13,MONTH($A69)),0)</f>
        <v>134.31818181818181</v>
      </c>
      <c r="F69" s="7" cm="1">
        <f t="array" ref="F69">IF($D69=10,INDEX(targets!$F$2:$F$13,MONTH($A69)),0)</f>
        <v>44.222222222222221</v>
      </c>
    </row>
    <row r="70" spans="1:6" x14ac:dyDescent="0.3">
      <c r="A70" s="1">
        <v>46091</v>
      </c>
      <c r="B70" t="s">
        <v>5</v>
      </c>
      <c r="C70">
        <v>8</v>
      </c>
      <c r="D70">
        <v>10</v>
      </c>
      <c r="E70" s="7" cm="1">
        <f t="array" ref="E70">IF($B70="Weekday",INDEX(targets!$G$2:$G$13,MONTH($A70)),0)</f>
        <v>134.31818181818181</v>
      </c>
      <c r="F70" s="7" cm="1">
        <f t="array" ref="F70">IF($D70=10,INDEX(targets!$F$2:$F$13,MONTH($A70)),0)</f>
        <v>44.222222222222221</v>
      </c>
    </row>
    <row r="71" spans="1:6" x14ac:dyDescent="0.3">
      <c r="A71" s="1">
        <v>46092</v>
      </c>
      <c r="B71" t="s">
        <v>5</v>
      </c>
      <c r="C71">
        <v>8</v>
      </c>
      <c r="D71">
        <v>10</v>
      </c>
      <c r="E71" s="7" cm="1">
        <f t="array" ref="E71">IF($B71="Weekday",INDEX(targets!$G$2:$G$13,MONTH($A71)),0)</f>
        <v>134.31818181818181</v>
      </c>
      <c r="F71" s="7" cm="1">
        <f t="array" ref="F71">IF($D71=10,INDEX(targets!$F$2:$F$13,MONTH($A71)),0)</f>
        <v>44.222222222222221</v>
      </c>
    </row>
    <row r="72" spans="1:6" x14ac:dyDescent="0.3">
      <c r="A72" s="1">
        <v>46093</v>
      </c>
      <c r="B72" t="s">
        <v>5</v>
      </c>
      <c r="C72">
        <v>8</v>
      </c>
      <c r="D72">
        <v>10</v>
      </c>
      <c r="E72" s="7" cm="1">
        <f t="array" ref="E72">IF($B72="Weekday",INDEX(targets!$G$2:$G$13,MONTH($A72)),0)</f>
        <v>134.31818181818181</v>
      </c>
      <c r="F72" s="7" cm="1">
        <f t="array" ref="F72">IF($D72=10,INDEX(targets!$F$2:$F$13,MONTH($A72)),0)</f>
        <v>44.222222222222221</v>
      </c>
    </row>
    <row r="73" spans="1:6" x14ac:dyDescent="0.3">
      <c r="A73" s="1">
        <v>46094</v>
      </c>
      <c r="B73" t="s">
        <v>5</v>
      </c>
      <c r="C73">
        <v>8</v>
      </c>
      <c r="D73">
        <v>0</v>
      </c>
      <c r="E73" s="7" cm="1">
        <f t="array" ref="E73">IF($B73="Weekday",INDEX(targets!$G$2:$G$13,MONTH($A73)),0)</f>
        <v>134.31818181818181</v>
      </c>
      <c r="F73" s="7" cm="1">
        <f t="array" ref="F73">IF($D73=10,INDEX(targets!$F$2:$F$13,MONTH($A73)),0)</f>
        <v>0</v>
      </c>
    </row>
    <row r="74" spans="1:6" x14ac:dyDescent="0.3">
      <c r="A74" s="1">
        <v>46095</v>
      </c>
      <c r="B74" t="s">
        <v>6</v>
      </c>
      <c r="C74">
        <v>0</v>
      </c>
      <c r="D74">
        <v>0</v>
      </c>
      <c r="E74" s="7" cm="1">
        <f t="array" ref="E74">IF($B74="Weekday",INDEX(targets!$G$2:$G$13,MONTH($A74)),0)</f>
        <v>0</v>
      </c>
      <c r="F74" s="7" cm="1">
        <f t="array" ref="F74">IF($D74=10,INDEX(targets!$F$2:$F$13,MONTH($A74)),0)</f>
        <v>0</v>
      </c>
    </row>
    <row r="75" spans="1:6" x14ac:dyDescent="0.3">
      <c r="A75" s="1">
        <v>46096</v>
      </c>
      <c r="B75" t="s">
        <v>6</v>
      </c>
      <c r="C75">
        <v>0</v>
      </c>
      <c r="D75">
        <v>0</v>
      </c>
      <c r="E75" s="7" cm="1">
        <f t="array" ref="E75">IF($B75="Weekday",INDEX(targets!$G$2:$G$13,MONTH($A75)),0)</f>
        <v>0</v>
      </c>
      <c r="F75" s="7" cm="1">
        <f t="array" ref="F75">IF($D75=10,INDEX(targets!$F$2:$F$13,MONTH($A75)),0)</f>
        <v>0</v>
      </c>
    </row>
    <row r="76" spans="1:6" x14ac:dyDescent="0.3">
      <c r="A76" s="1">
        <v>46097</v>
      </c>
      <c r="B76" t="s">
        <v>5</v>
      </c>
      <c r="C76">
        <v>8</v>
      </c>
      <c r="D76">
        <v>10</v>
      </c>
      <c r="E76" s="7" cm="1">
        <f t="array" ref="E76">IF($B76="Weekday",INDEX(targets!$G$2:$G$13,MONTH($A76)),0)</f>
        <v>134.31818181818181</v>
      </c>
      <c r="F76" s="7" cm="1">
        <f t="array" ref="F76">IF($D76=10,INDEX(targets!$F$2:$F$13,MONTH($A76)),0)</f>
        <v>44.222222222222221</v>
      </c>
    </row>
    <row r="77" spans="1:6" x14ac:dyDescent="0.3">
      <c r="A77" s="1">
        <v>46098</v>
      </c>
      <c r="B77" t="s">
        <v>5</v>
      </c>
      <c r="C77">
        <v>8</v>
      </c>
      <c r="D77">
        <v>10</v>
      </c>
      <c r="E77" s="7" cm="1">
        <f t="array" ref="E77">IF($B77="Weekday",INDEX(targets!$G$2:$G$13,MONTH($A77)),0)</f>
        <v>134.31818181818181</v>
      </c>
      <c r="F77" s="7" cm="1">
        <f t="array" ref="F77">IF($D77=10,INDEX(targets!$F$2:$F$13,MONTH($A77)),0)</f>
        <v>44.222222222222221</v>
      </c>
    </row>
    <row r="78" spans="1:6" x14ac:dyDescent="0.3">
      <c r="A78" s="1">
        <v>46099</v>
      </c>
      <c r="B78" t="s">
        <v>5</v>
      </c>
      <c r="C78">
        <v>8</v>
      </c>
      <c r="D78">
        <v>10</v>
      </c>
      <c r="E78" s="7" cm="1">
        <f t="array" ref="E78">IF($B78="Weekday",INDEX(targets!$G$2:$G$13,MONTH($A78)),0)</f>
        <v>134.31818181818181</v>
      </c>
      <c r="F78" s="7" cm="1">
        <f t="array" ref="F78">IF($D78=10,INDEX(targets!$F$2:$F$13,MONTH($A78)),0)</f>
        <v>44.222222222222221</v>
      </c>
    </row>
    <row r="79" spans="1:6" x14ac:dyDescent="0.3">
      <c r="A79" s="1">
        <v>46100</v>
      </c>
      <c r="B79" t="s">
        <v>5</v>
      </c>
      <c r="C79">
        <v>8</v>
      </c>
      <c r="D79">
        <v>10</v>
      </c>
      <c r="E79" s="7" cm="1">
        <f t="array" ref="E79">IF($B79="Weekday",INDEX(targets!$G$2:$G$13,MONTH($A79)),0)</f>
        <v>134.31818181818181</v>
      </c>
      <c r="F79" s="7" cm="1">
        <f t="array" ref="F79">IF($D79=10,INDEX(targets!$F$2:$F$13,MONTH($A79)),0)</f>
        <v>44.222222222222221</v>
      </c>
    </row>
    <row r="80" spans="1:6" x14ac:dyDescent="0.3">
      <c r="A80" s="1">
        <v>46101</v>
      </c>
      <c r="B80" t="s">
        <v>5</v>
      </c>
      <c r="C80">
        <v>8</v>
      </c>
      <c r="D80">
        <v>0</v>
      </c>
      <c r="E80" s="7" cm="1">
        <f t="array" ref="E80">IF($B80="Weekday",INDEX(targets!$G$2:$G$13,MONTH($A80)),0)</f>
        <v>134.31818181818181</v>
      </c>
      <c r="F80" s="7" cm="1">
        <f t="array" ref="F80">IF($D80=10,INDEX(targets!$F$2:$F$13,MONTH($A80)),0)</f>
        <v>0</v>
      </c>
    </row>
    <row r="81" spans="1:6" x14ac:dyDescent="0.3">
      <c r="A81" s="1">
        <v>46102</v>
      </c>
      <c r="B81" t="s">
        <v>6</v>
      </c>
      <c r="C81">
        <v>0</v>
      </c>
      <c r="D81">
        <v>0</v>
      </c>
      <c r="E81" s="7" cm="1">
        <f t="array" ref="E81">IF($B81="Weekday",INDEX(targets!$G$2:$G$13,MONTH($A81)),0)</f>
        <v>0</v>
      </c>
      <c r="F81" s="7" cm="1">
        <f t="array" ref="F81">IF($D81=10,INDEX(targets!$F$2:$F$13,MONTH($A81)),0)</f>
        <v>0</v>
      </c>
    </row>
    <row r="82" spans="1:6" x14ac:dyDescent="0.3">
      <c r="A82" s="1">
        <v>46103</v>
      </c>
      <c r="B82" t="s">
        <v>6</v>
      </c>
      <c r="C82">
        <v>0</v>
      </c>
      <c r="D82">
        <v>0</v>
      </c>
      <c r="E82" s="7" cm="1">
        <f t="array" ref="E82">IF($B82="Weekday",INDEX(targets!$G$2:$G$13,MONTH($A82)),0)</f>
        <v>0</v>
      </c>
      <c r="F82" s="7" cm="1">
        <f t="array" ref="F82">IF($D82=10,INDEX(targets!$F$2:$F$13,MONTH($A82)),0)</f>
        <v>0</v>
      </c>
    </row>
    <row r="83" spans="1:6" x14ac:dyDescent="0.3">
      <c r="A83" s="1">
        <v>46104</v>
      </c>
      <c r="B83" t="s">
        <v>5</v>
      </c>
      <c r="C83">
        <v>8</v>
      </c>
      <c r="D83">
        <v>10</v>
      </c>
      <c r="E83" s="7" cm="1">
        <f t="array" ref="E83">IF($B83="Weekday",INDEX(targets!$G$2:$G$13,MONTH($A83)),0)</f>
        <v>134.31818181818181</v>
      </c>
      <c r="F83" s="7" cm="1">
        <f t="array" ref="F83">IF($D83=10,INDEX(targets!$F$2:$F$13,MONTH($A83)),0)</f>
        <v>44.222222222222221</v>
      </c>
    </row>
    <row r="84" spans="1:6" x14ac:dyDescent="0.3">
      <c r="A84" s="1">
        <v>46105</v>
      </c>
      <c r="B84" t="s">
        <v>5</v>
      </c>
      <c r="C84">
        <v>8</v>
      </c>
      <c r="D84">
        <v>10</v>
      </c>
      <c r="E84" s="7" cm="1">
        <f t="array" ref="E84">IF($B84="Weekday",INDEX(targets!$G$2:$G$13,MONTH($A84)),0)</f>
        <v>134.31818181818181</v>
      </c>
      <c r="F84" s="7" cm="1">
        <f t="array" ref="F84">IF($D84=10,INDEX(targets!$F$2:$F$13,MONTH($A84)),0)</f>
        <v>44.222222222222221</v>
      </c>
    </row>
    <row r="85" spans="1:6" x14ac:dyDescent="0.3">
      <c r="A85" s="1">
        <v>46106</v>
      </c>
      <c r="B85" t="s">
        <v>5</v>
      </c>
      <c r="C85">
        <v>8</v>
      </c>
      <c r="D85">
        <v>10</v>
      </c>
      <c r="E85" s="7" cm="1">
        <f t="array" ref="E85">IF($B85="Weekday",INDEX(targets!$G$2:$G$13,MONTH($A85)),0)</f>
        <v>134.31818181818181</v>
      </c>
      <c r="F85" s="7" cm="1">
        <f t="array" ref="F85">IF($D85=10,INDEX(targets!$F$2:$F$13,MONTH($A85)),0)</f>
        <v>44.222222222222221</v>
      </c>
    </row>
    <row r="86" spans="1:6" x14ac:dyDescent="0.3">
      <c r="A86" s="1">
        <v>46107</v>
      </c>
      <c r="B86" t="s">
        <v>5</v>
      </c>
      <c r="C86">
        <v>8</v>
      </c>
      <c r="D86">
        <v>10</v>
      </c>
      <c r="E86" s="7" cm="1">
        <f t="array" ref="E86">IF($B86="Weekday",INDEX(targets!$G$2:$G$13,MONTH($A86)),0)</f>
        <v>134.31818181818181</v>
      </c>
      <c r="F86" s="7" cm="1">
        <f t="array" ref="F86">IF($D86=10,INDEX(targets!$F$2:$F$13,MONTH($A86)),0)</f>
        <v>44.222222222222221</v>
      </c>
    </row>
    <row r="87" spans="1:6" x14ac:dyDescent="0.3">
      <c r="A87" s="1">
        <v>46108</v>
      </c>
      <c r="B87" t="s">
        <v>5</v>
      </c>
      <c r="C87">
        <v>8</v>
      </c>
      <c r="D87">
        <v>0</v>
      </c>
      <c r="E87" s="7" cm="1">
        <f t="array" ref="E87">IF($B87="Weekday",INDEX(targets!$G$2:$G$13,MONTH($A87)),0)</f>
        <v>134.31818181818181</v>
      </c>
      <c r="F87" s="7" cm="1">
        <f t="array" ref="F87">IF($D87=10,INDEX(targets!$F$2:$F$13,MONTH($A87)),0)</f>
        <v>0</v>
      </c>
    </row>
    <row r="88" spans="1:6" x14ac:dyDescent="0.3">
      <c r="A88" s="1">
        <v>46109</v>
      </c>
      <c r="B88" t="s">
        <v>6</v>
      </c>
      <c r="C88">
        <v>0</v>
      </c>
      <c r="D88">
        <v>0</v>
      </c>
      <c r="E88" s="7" cm="1">
        <f t="array" ref="E88">IF($B88="Weekday",INDEX(targets!$G$2:$G$13,MONTH($A88)),0)</f>
        <v>0</v>
      </c>
      <c r="F88" s="7" cm="1">
        <f t="array" ref="F88">IF($D88=10,INDEX(targets!$F$2:$F$13,MONTH($A88)),0)</f>
        <v>0</v>
      </c>
    </row>
    <row r="89" spans="1:6" x14ac:dyDescent="0.3">
      <c r="A89" s="1">
        <v>46110</v>
      </c>
      <c r="B89" t="s">
        <v>6</v>
      </c>
      <c r="C89">
        <v>0</v>
      </c>
      <c r="D89">
        <v>0</v>
      </c>
      <c r="E89" s="7" cm="1">
        <f t="array" ref="E89">IF($B89="Weekday",INDEX(targets!$G$2:$G$13,MONTH($A89)),0)</f>
        <v>0</v>
      </c>
      <c r="F89" s="7" cm="1">
        <f t="array" ref="F89">IF($D89=10,INDEX(targets!$F$2:$F$13,MONTH($A89)),0)</f>
        <v>0</v>
      </c>
    </row>
    <row r="90" spans="1:6" x14ac:dyDescent="0.3">
      <c r="A90" s="1">
        <v>46111</v>
      </c>
      <c r="B90" t="s">
        <v>5</v>
      </c>
      <c r="C90">
        <v>8</v>
      </c>
      <c r="D90">
        <v>10</v>
      </c>
      <c r="E90" s="7" cm="1">
        <f t="array" ref="E90">IF($B90="Weekday",INDEX(targets!$G$2:$G$13,MONTH($A90)),0)</f>
        <v>134.31818181818181</v>
      </c>
      <c r="F90" s="7" cm="1">
        <f t="array" ref="F90">IF($D90=10,INDEX(targets!$F$2:$F$13,MONTH($A90)),0)</f>
        <v>44.222222222222221</v>
      </c>
    </row>
    <row r="91" spans="1:6" x14ac:dyDescent="0.3">
      <c r="A91" s="1">
        <v>46112</v>
      </c>
      <c r="B91" t="s">
        <v>5</v>
      </c>
      <c r="C91">
        <v>8</v>
      </c>
      <c r="D91">
        <v>10</v>
      </c>
      <c r="E91" s="7" cm="1">
        <f t="array" ref="E91">IF($B91="Weekday",INDEX(targets!$G$2:$G$13,MONTH($A91)),0)</f>
        <v>134.31818181818181</v>
      </c>
      <c r="F91" s="7" cm="1">
        <f t="array" ref="F91">IF($D91=10,INDEX(targets!$F$2:$F$13,MONTH($A91)),0)</f>
        <v>44.222222222222221</v>
      </c>
    </row>
    <row r="92" spans="1:6" x14ac:dyDescent="0.3">
      <c r="A92" s="1">
        <v>46113</v>
      </c>
      <c r="B92" t="s">
        <v>5</v>
      </c>
      <c r="C92">
        <v>8</v>
      </c>
      <c r="D92">
        <v>10</v>
      </c>
      <c r="E92" s="7" cm="1">
        <f t="array" ref="E92">IF($B92="Weekday",INDEX(targets!$G$2:$G$13,MONTH($A92)),0)</f>
        <v>164</v>
      </c>
      <c r="F92" s="7" cm="1">
        <f t="array" ref="F92">IF($D92=10,INDEX(targets!$F$2:$F$13,MONTH($A92)),0)</f>
        <v>41.89473684210526</v>
      </c>
    </row>
    <row r="93" spans="1:6" x14ac:dyDescent="0.3">
      <c r="A93" s="1">
        <v>46114</v>
      </c>
      <c r="B93" t="s">
        <v>5</v>
      </c>
      <c r="C93">
        <v>8</v>
      </c>
      <c r="D93">
        <v>10</v>
      </c>
      <c r="E93" s="7" cm="1">
        <f t="array" ref="E93">IF($B93="Weekday",INDEX(targets!$G$2:$G$13,MONTH($A93)),0)</f>
        <v>164</v>
      </c>
      <c r="F93" s="7" cm="1">
        <f t="array" ref="F93">IF($D93=10,INDEX(targets!$F$2:$F$13,MONTH($A93)),0)</f>
        <v>41.89473684210526</v>
      </c>
    </row>
    <row r="94" spans="1:6" x14ac:dyDescent="0.3">
      <c r="A94" s="1">
        <v>46115</v>
      </c>
      <c r="B94" t="s">
        <v>4</v>
      </c>
      <c r="C94">
        <v>0</v>
      </c>
      <c r="D94">
        <v>0</v>
      </c>
      <c r="E94" s="7" cm="1">
        <f t="array" ref="E94">IF($B94="Weekday",INDEX(targets!$G$2:$G$13,MONTH($A94)),0)</f>
        <v>0</v>
      </c>
      <c r="F94" s="7" cm="1">
        <f t="array" ref="F94">IF($D94=10,INDEX(targets!$F$2:$F$13,MONTH($A94)),0)</f>
        <v>0</v>
      </c>
    </row>
    <row r="95" spans="1:6" x14ac:dyDescent="0.3">
      <c r="A95" s="1">
        <v>46116</v>
      </c>
      <c r="B95" t="s">
        <v>6</v>
      </c>
      <c r="C95">
        <v>0</v>
      </c>
      <c r="D95">
        <v>0</v>
      </c>
      <c r="E95" s="7" cm="1">
        <f t="array" ref="E95">IF($B95="Weekday",INDEX(targets!$G$2:$G$13,MONTH($A95)),0)</f>
        <v>0</v>
      </c>
      <c r="F95" s="7" cm="1">
        <f t="array" ref="F95">IF($D95=10,INDEX(targets!$F$2:$F$13,MONTH($A95)),0)</f>
        <v>0</v>
      </c>
    </row>
    <row r="96" spans="1:6" x14ac:dyDescent="0.3">
      <c r="A96" s="1">
        <v>46117</v>
      </c>
      <c r="B96" t="s">
        <v>6</v>
      </c>
      <c r="C96">
        <v>0</v>
      </c>
      <c r="D96">
        <v>0</v>
      </c>
      <c r="E96" s="7" cm="1">
        <f t="array" ref="E96">IF($B96="Weekday",INDEX(targets!$G$2:$G$13,MONTH($A96)),0)</f>
        <v>0</v>
      </c>
      <c r="F96" s="7" cm="1">
        <f t="array" ref="F96">IF($D96=10,INDEX(targets!$F$2:$F$13,MONTH($A96)),0)</f>
        <v>0</v>
      </c>
    </row>
    <row r="97" spans="1:6" x14ac:dyDescent="0.3">
      <c r="A97" s="1">
        <v>46118</v>
      </c>
      <c r="B97" t="s">
        <v>5</v>
      </c>
      <c r="C97">
        <v>8</v>
      </c>
      <c r="D97">
        <v>10</v>
      </c>
      <c r="E97" s="7" cm="1">
        <f t="array" ref="E97">IF($B97="Weekday",INDEX(targets!$G$2:$G$13,MONTH($A97)),0)</f>
        <v>164</v>
      </c>
      <c r="F97" s="7" cm="1">
        <f t="array" ref="F97">IF($D97=10,INDEX(targets!$F$2:$F$13,MONTH($A97)),0)</f>
        <v>41.89473684210526</v>
      </c>
    </row>
    <row r="98" spans="1:6" x14ac:dyDescent="0.3">
      <c r="A98" s="1">
        <v>46119</v>
      </c>
      <c r="B98" t="s">
        <v>5</v>
      </c>
      <c r="C98">
        <v>8</v>
      </c>
      <c r="D98">
        <v>10</v>
      </c>
      <c r="E98" s="7" cm="1">
        <f t="array" ref="E98">IF($B98="Weekday",INDEX(targets!$G$2:$G$13,MONTH($A98)),0)</f>
        <v>164</v>
      </c>
      <c r="F98" s="7" cm="1">
        <f t="array" ref="F98">IF($D98=10,INDEX(targets!$F$2:$F$13,MONTH($A98)),0)</f>
        <v>41.89473684210526</v>
      </c>
    </row>
    <row r="99" spans="1:6" x14ac:dyDescent="0.3">
      <c r="A99" s="1">
        <v>46120</v>
      </c>
      <c r="B99" t="s">
        <v>5</v>
      </c>
      <c r="C99">
        <v>8</v>
      </c>
      <c r="D99">
        <v>10</v>
      </c>
      <c r="E99" s="7" cm="1">
        <f t="array" ref="E99">IF($B99="Weekday",INDEX(targets!$G$2:$G$13,MONTH($A99)),0)</f>
        <v>164</v>
      </c>
      <c r="F99" s="7" cm="1">
        <f t="array" ref="F99">IF($D99=10,INDEX(targets!$F$2:$F$13,MONTH($A99)),0)</f>
        <v>41.89473684210526</v>
      </c>
    </row>
    <row r="100" spans="1:6" x14ac:dyDescent="0.3">
      <c r="A100" s="1">
        <v>46121</v>
      </c>
      <c r="B100" t="s">
        <v>5</v>
      </c>
      <c r="C100">
        <v>8</v>
      </c>
      <c r="D100">
        <v>10</v>
      </c>
      <c r="E100" s="7" cm="1">
        <f t="array" ref="E100">IF($B100="Weekday",INDEX(targets!$G$2:$G$13,MONTH($A100)),0)</f>
        <v>164</v>
      </c>
      <c r="F100" s="7" cm="1">
        <f t="array" ref="F100">IF($D100=10,INDEX(targets!$F$2:$F$13,MONTH($A100)),0)</f>
        <v>41.89473684210526</v>
      </c>
    </row>
    <row r="101" spans="1:6" x14ac:dyDescent="0.3">
      <c r="A101" s="1">
        <v>46122</v>
      </c>
      <c r="B101" t="s">
        <v>5</v>
      </c>
      <c r="C101">
        <v>8</v>
      </c>
      <c r="D101">
        <v>10</v>
      </c>
      <c r="E101" s="7" cm="1">
        <f t="array" ref="E101">IF($B101="Weekday",INDEX(targets!$G$2:$G$13,MONTH($A101)),0)</f>
        <v>164</v>
      </c>
      <c r="F101" s="7" cm="1">
        <f t="array" ref="F101">IF($D101=10,INDEX(targets!$F$2:$F$13,MONTH($A101)),0)</f>
        <v>41.89473684210526</v>
      </c>
    </row>
    <row r="102" spans="1:6" x14ac:dyDescent="0.3">
      <c r="A102" s="1">
        <v>46123</v>
      </c>
      <c r="B102" t="s">
        <v>6</v>
      </c>
      <c r="C102">
        <v>0</v>
      </c>
      <c r="D102">
        <v>0</v>
      </c>
      <c r="E102" s="7" cm="1">
        <f t="array" ref="E102">IF($B102="Weekday",INDEX(targets!$G$2:$G$13,MONTH($A102)),0)</f>
        <v>0</v>
      </c>
      <c r="F102" s="7" cm="1">
        <f t="array" ref="F102">IF($D102=10,INDEX(targets!$F$2:$F$13,MONTH($A102)),0)</f>
        <v>0</v>
      </c>
    </row>
    <row r="103" spans="1:6" x14ac:dyDescent="0.3">
      <c r="A103" s="1">
        <v>46124</v>
      </c>
      <c r="B103" t="s">
        <v>6</v>
      </c>
      <c r="C103">
        <v>0</v>
      </c>
      <c r="D103">
        <v>0</v>
      </c>
      <c r="E103" s="7" cm="1">
        <f t="array" ref="E103">IF($B103="Weekday",INDEX(targets!$G$2:$G$13,MONTH($A103)),0)</f>
        <v>0</v>
      </c>
      <c r="F103" s="7" cm="1">
        <f t="array" ref="F103">IF($D103=10,INDEX(targets!$F$2:$F$13,MONTH($A103)),0)</f>
        <v>0</v>
      </c>
    </row>
    <row r="104" spans="1:6" x14ac:dyDescent="0.3">
      <c r="A104" s="1">
        <v>46125</v>
      </c>
      <c r="B104" t="s">
        <v>5</v>
      </c>
      <c r="C104">
        <v>8</v>
      </c>
      <c r="D104">
        <v>10</v>
      </c>
      <c r="E104" s="7" cm="1">
        <f t="array" ref="E104">IF($B104="Weekday",INDEX(targets!$G$2:$G$13,MONTH($A104)),0)</f>
        <v>164</v>
      </c>
      <c r="F104" s="7" cm="1">
        <f t="array" ref="F104">IF($D104=10,INDEX(targets!$F$2:$F$13,MONTH($A104)),0)</f>
        <v>41.89473684210526</v>
      </c>
    </row>
    <row r="105" spans="1:6" x14ac:dyDescent="0.3">
      <c r="A105" s="1">
        <v>46126</v>
      </c>
      <c r="B105" t="s">
        <v>5</v>
      </c>
      <c r="C105">
        <v>8</v>
      </c>
      <c r="D105">
        <v>10</v>
      </c>
      <c r="E105" s="7" cm="1">
        <f t="array" ref="E105">IF($B105="Weekday",INDEX(targets!$G$2:$G$13,MONTH($A105)),0)</f>
        <v>164</v>
      </c>
      <c r="F105" s="7" cm="1">
        <f t="array" ref="F105">IF($D105=10,INDEX(targets!$F$2:$F$13,MONTH($A105)),0)</f>
        <v>41.89473684210526</v>
      </c>
    </row>
    <row r="106" spans="1:6" x14ac:dyDescent="0.3">
      <c r="A106" s="1">
        <v>46127</v>
      </c>
      <c r="B106" t="s">
        <v>5</v>
      </c>
      <c r="C106">
        <v>8</v>
      </c>
      <c r="D106">
        <v>10</v>
      </c>
      <c r="E106" s="7" cm="1">
        <f t="array" ref="E106">IF($B106="Weekday",INDEX(targets!$G$2:$G$13,MONTH($A106)),0)</f>
        <v>164</v>
      </c>
      <c r="F106" s="7" cm="1">
        <f t="array" ref="F106">IF($D106=10,INDEX(targets!$F$2:$F$13,MONTH($A106)),0)</f>
        <v>41.89473684210526</v>
      </c>
    </row>
    <row r="107" spans="1:6" x14ac:dyDescent="0.3">
      <c r="A107" s="1">
        <v>46128</v>
      </c>
      <c r="B107" t="s">
        <v>5</v>
      </c>
      <c r="C107">
        <v>8</v>
      </c>
      <c r="D107">
        <v>10</v>
      </c>
      <c r="E107" s="7" cm="1">
        <f t="array" ref="E107">IF($B107="Weekday",INDEX(targets!$G$2:$G$13,MONTH($A107)),0)</f>
        <v>164</v>
      </c>
      <c r="F107" s="7" cm="1">
        <f t="array" ref="F107">IF($D107=10,INDEX(targets!$F$2:$F$13,MONTH($A107)),0)</f>
        <v>41.89473684210526</v>
      </c>
    </row>
    <row r="108" spans="1:6" x14ac:dyDescent="0.3">
      <c r="A108" s="1">
        <v>46129</v>
      </c>
      <c r="B108" t="s">
        <v>5</v>
      </c>
      <c r="C108">
        <v>8</v>
      </c>
      <c r="D108">
        <v>0</v>
      </c>
      <c r="E108" s="7" cm="1">
        <f t="array" ref="E108">IF($B108="Weekday",INDEX(targets!$G$2:$G$13,MONTH($A108)),0)</f>
        <v>164</v>
      </c>
      <c r="F108" s="7" cm="1">
        <f t="array" ref="F108">IF($D108=10,INDEX(targets!$F$2:$F$13,MONTH($A108)),0)</f>
        <v>0</v>
      </c>
    </row>
    <row r="109" spans="1:6" x14ac:dyDescent="0.3">
      <c r="A109" s="1">
        <v>46130</v>
      </c>
      <c r="B109" t="s">
        <v>6</v>
      </c>
      <c r="C109">
        <v>0</v>
      </c>
      <c r="D109">
        <v>0</v>
      </c>
      <c r="E109" s="7" cm="1">
        <f t="array" ref="E109">IF($B109="Weekday",INDEX(targets!$G$2:$G$13,MONTH($A109)),0)</f>
        <v>0</v>
      </c>
      <c r="F109" s="7" cm="1">
        <f t="array" ref="F109">IF($D109=10,INDEX(targets!$F$2:$F$13,MONTH($A109)),0)</f>
        <v>0</v>
      </c>
    </row>
    <row r="110" spans="1:6" x14ac:dyDescent="0.3">
      <c r="A110" s="1">
        <v>46131</v>
      </c>
      <c r="B110" t="s">
        <v>6</v>
      </c>
      <c r="C110">
        <v>0</v>
      </c>
      <c r="D110">
        <v>0</v>
      </c>
      <c r="E110" s="7" cm="1">
        <f t="array" ref="E110">IF($B110="Weekday",INDEX(targets!$G$2:$G$13,MONTH($A110)),0)</f>
        <v>0</v>
      </c>
      <c r="F110" s="7" cm="1">
        <f t="array" ref="F110">IF($D110=10,INDEX(targets!$F$2:$F$13,MONTH($A110)),0)</f>
        <v>0</v>
      </c>
    </row>
    <row r="111" spans="1:6" x14ac:dyDescent="0.3">
      <c r="A111" s="1">
        <v>46132</v>
      </c>
      <c r="B111" t="s">
        <v>5</v>
      </c>
      <c r="C111">
        <v>8</v>
      </c>
      <c r="D111">
        <v>10</v>
      </c>
      <c r="E111" s="7" cm="1">
        <f t="array" ref="E111">IF($B111="Weekday",INDEX(targets!$G$2:$G$13,MONTH($A111)),0)</f>
        <v>164</v>
      </c>
      <c r="F111" s="7" cm="1">
        <f t="array" ref="F111">IF($D111=10,INDEX(targets!$F$2:$F$13,MONTH($A111)),0)</f>
        <v>41.89473684210526</v>
      </c>
    </row>
    <row r="112" spans="1:6" x14ac:dyDescent="0.3">
      <c r="A112" s="1">
        <v>46133</v>
      </c>
      <c r="B112" t="s">
        <v>5</v>
      </c>
      <c r="C112">
        <v>8</v>
      </c>
      <c r="D112">
        <v>10</v>
      </c>
      <c r="E112" s="7" cm="1">
        <f t="array" ref="E112">IF($B112="Weekday",INDEX(targets!$G$2:$G$13,MONTH($A112)),0)</f>
        <v>164</v>
      </c>
      <c r="F112" s="7" cm="1">
        <f t="array" ref="F112">IF($D112=10,INDEX(targets!$F$2:$F$13,MONTH($A112)),0)</f>
        <v>41.89473684210526</v>
      </c>
    </row>
    <row r="113" spans="1:6" x14ac:dyDescent="0.3">
      <c r="A113" s="1">
        <v>46134</v>
      </c>
      <c r="B113" t="s">
        <v>5</v>
      </c>
      <c r="C113">
        <v>8</v>
      </c>
      <c r="D113">
        <v>10</v>
      </c>
      <c r="E113" s="7" cm="1">
        <f t="array" ref="E113">IF($B113="Weekday",INDEX(targets!$G$2:$G$13,MONTH($A113)),0)</f>
        <v>164</v>
      </c>
      <c r="F113" s="7" cm="1">
        <f t="array" ref="F113">IF($D113=10,INDEX(targets!$F$2:$F$13,MONTH($A113)),0)</f>
        <v>41.89473684210526</v>
      </c>
    </row>
    <row r="114" spans="1:6" x14ac:dyDescent="0.3">
      <c r="A114" s="1">
        <v>46135</v>
      </c>
      <c r="B114" t="s">
        <v>5</v>
      </c>
      <c r="C114">
        <v>8</v>
      </c>
      <c r="D114">
        <v>10</v>
      </c>
      <c r="E114" s="7" cm="1">
        <f t="array" ref="E114">IF($B114="Weekday",INDEX(targets!$G$2:$G$13,MONTH($A114)),0)</f>
        <v>164</v>
      </c>
      <c r="F114" s="7" cm="1">
        <f t="array" ref="F114">IF($D114=10,INDEX(targets!$F$2:$F$13,MONTH($A114)),0)</f>
        <v>41.89473684210526</v>
      </c>
    </row>
    <row r="115" spans="1:6" x14ac:dyDescent="0.3">
      <c r="A115" s="1">
        <v>46136</v>
      </c>
      <c r="B115" t="s">
        <v>5</v>
      </c>
      <c r="C115">
        <v>8</v>
      </c>
      <c r="D115">
        <v>0</v>
      </c>
      <c r="E115" s="7" cm="1">
        <f t="array" ref="E115">IF($B115="Weekday",INDEX(targets!$G$2:$G$13,MONTH($A115)),0)</f>
        <v>164</v>
      </c>
      <c r="F115" s="7" cm="1">
        <f t="array" ref="F115">IF($D115=10,INDEX(targets!$F$2:$F$13,MONTH($A115)),0)</f>
        <v>0</v>
      </c>
    </row>
    <row r="116" spans="1:6" x14ac:dyDescent="0.3">
      <c r="A116" s="1">
        <v>46137</v>
      </c>
      <c r="B116" t="s">
        <v>6</v>
      </c>
      <c r="C116">
        <v>0</v>
      </c>
      <c r="D116">
        <v>0</v>
      </c>
      <c r="E116" s="7" cm="1">
        <f t="array" ref="E116">IF($B116="Weekday",INDEX(targets!$G$2:$G$13,MONTH($A116)),0)</f>
        <v>0</v>
      </c>
      <c r="F116" s="7" cm="1">
        <f t="array" ref="F116">IF($D116=10,INDEX(targets!$F$2:$F$13,MONTH($A116)),0)</f>
        <v>0</v>
      </c>
    </row>
    <row r="117" spans="1:6" x14ac:dyDescent="0.3">
      <c r="A117" s="1">
        <v>46138</v>
      </c>
      <c r="B117" t="s">
        <v>6</v>
      </c>
      <c r="C117">
        <v>0</v>
      </c>
      <c r="D117">
        <v>0</v>
      </c>
      <c r="E117" s="7" cm="1">
        <f t="array" ref="E117">IF($B117="Weekday",INDEX(targets!$G$2:$G$13,MONTH($A117)),0)</f>
        <v>0</v>
      </c>
      <c r="F117" s="7" cm="1">
        <f t="array" ref="F117">IF($D117=10,INDEX(targets!$F$2:$F$13,MONTH($A117)),0)</f>
        <v>0</v>
      </c>
    </row>
    <row r="118" spans="1:6" x14ac:dyDescent="0.3">
      <c r="A118" s="1">
        <v>46139</v>
      </c>
      <c r="B118" t="s">
        <v>5</v>
      </c>
      <c r="C118">
        <v>8</v>
      </c>
      <c r="D118">
        <v>10</v>
      </c>
      <c r="E118" s="7" cm="1">
        <f t="array" ref="E118">IF($B118="Weekday",INDEX(targets!$G$2:$G$13,MONTH($A118)),0)</f>
        <v>164</v>
      </c>
      <c r="F118" s="7" cm="1">
        <f t="array" ref="F118">IF($D118=10,INDEX(targets!$F$2:$F$13,MONTH($A118)),0)</f>
        <v>41.89473684210526</v>
      </c>
    </row>
    <row r="119" spans="1:6" x14ac:dyDescent="0.3">
      <c r="A119" s="1">
        <v>46140</v>
      </c>
      <c r="B119" t="s">
        <v>5</v>
      </c>
      <c r="C119">
        <v>8</v>
      </c>
      <c r="D119">
        <v>10</v>
      </c>
      <c r="E119" s="7" cm="1">
        <f t="array" ref="E119">IF($B119="Weekday",INDEX(targets!$G$2:$G$13,MONTH($A119)),0)</f>
        <v>164</v>
      </c>
      <c r="F119" s="7" cm="1">
        <f t="array" ref="F119">IF($D119=10,INDEX(targets!$F$2:$F$13,MONTH($A119)),0)</f>
        <v>41.89473684210526</v>
      </c>
    </row>
    <row r="120" spans="1:6" x14ac:dyDescent="0.3">
      <c r="A120" s="1">
        <v>46141</v>
      </c>
      <c r="B120" t="s">
        <v>5</v>
      </c>
      <c r="C120">
        <v>8</v>
      </c>
      <c r="D120">
        <v>10</v>
      </c>
      <c r="E120" s="7" cm="1">
        <f t="array" ref="E120">IF($B120="Weekday",INDEX(targets!$G$2:$G$13,MONTH($A120)),0)</f>
        <v>164</v>
      </c>
      <c r="F120" s="7" cm="1">
        <f t="array" ref="F120">IF($D120=10,INDEX(targets!$F$2:$F$13,MONTH($A120)),0)</f>
        <v>41.89473684210526</v>
      </c>
    </row>
    <row r="121" spans="1:6" x14ac:dyDescent="0.3">
      <c r="A121" s="1">
        <v>46142</v>
      </c>
      <c r="B121" t="s">
        <v>5</v>
      </c>
      <c r="C121">
        <v>8</v>
      </c>
      <c r="D121">
        <v>10</v>
      </c>
      <c r="E121" s="7" cm="1">
        <f t="array" ref="E121">IF($B121="Weekday",INDEX(targets!$G$2:$G$13,MONTH($A121)),0)</f>
        <v>164</v>
      </c>
      <c r="F121" s="7" cm="1">
        <f t="array" ref="F121">IF($D121=10,INDEX(targets!$F$2:$F$13,MONTH($A121)),0)</f>
        <v>41.89473684210526</v>
      </c>
    </row>
    <row r="122" spans="1:6" x14ac:dyDescent="0.3">
      <c r="A122" s="1">
        <v>46143</v>
      </c>
      <c r="B122" t="s">
        <v>5</v>
      </c>
      <c r="C122">
        <v>8</v>
      </c>
      <c r="D122">
        <v>10</v>
      </c>
      <c r="E122" s="7" cm="1">
        <f t="array" ref="E122">IF($B122="Weekday",INDEX(targets!$G$2:$G$13,MONTH($A122)),0)</f>
        <v>197.55</v>
      </c>
      <c r="F122" s="7" cm="1">
        <f t="array" ref="F122">IF($D122=10,INDEX(targets!$F$2:$F$13,MONTH($A122)),0)</f>
        <v>70.294117647058826</v>
      </c>
    </row>
    <row r="123" spans="1:6" x14ac:dyDescent="0.3">
      <c r="A123" s="1">
        <v>46144</v>
      </c>
      <c r="B123" t="s">
        <v>6</v>
      </c>
      <c r="C123">
        <v>0</v>
      </c>
      <c r="D123">
        <v>0</v>
      </c>
      <c r="E123" s="7" cm="1">
        <f t="array" ref="E123">IF($B123="Weekday",INDEX(targets!$G$2:$G$13,MONTH($A123)),0)</f>
        <v>0</v>
      </c>
      <c r="F123" s="7" cm="1">
        <f t="array" ref="F123">IF($D123=10,INDEX(targets!$F$2:$F$13,MONTH($A123)),0)</f>
        <v>0</v>
      </c>
    </row>
    <row r="124" spans="1:6" x14ac:dyDescent="0.3">
      <c r="A124" s="1">
        <v>46145</v>
      </c>
      <c r="B124" t="s">
        <v>6</v>
      </c>
      <c r="C124">
        <v>0</v>
      </c>
      <c r="D124">
        <v>0</v>
      </c>
      <c r="E124" s="7" cm="1">
        <f t="array" ref="E124">IF($B124="Weekday",INDEX(targets!$G$2:$G$13,MONTH($A124)),0)</f>
        <v>0</v>
      </c>
      <c r="F124" s="7" cm="1">
        <f t="array" ref="F124">IF($D124=10,INDEX(targets!$F$2:$F$13,MONTH($A124)),0)</f>
        <v>0</v>
      </c>
    </row>
    <row r="125" spans="1:6" x14ac:dyDescent="0.3">
      <c r="A125" s="1">
        <v>46146</v>
      </c>
      <c r="B125" t="s">
        <v>5</v>
      </c>
      <c r="C125">
        <v>8</v>
      </c>
      <c r="D125">
        <v>10</v>
      </c>
      <c r="E125" s="7" cm="1">
        <f t="array" ref="E125">IF($B125="Weekday",INDEX(targets!$G$2:$G$13,MONTH($A125)),0)</f>
        <v>197.55</v>
      </c>
      <c r="F125" s="7" cm="1">
        <f t="array" ref="F125">IF($D125=10,INDEX(targets!$F$2:$F$13,MONTH($A125)),0)</f>
        <v>70.294117647058826</v>
      </c>
    </row>
    <row r="126" spans="1:6" x14ac:dyDescent="0.3">
      <c r="A126" s="1">
        <v>46147</v>
      </c>
      <c r="B126" t="s">
        <v>5</v>
      </c>
      <c r="C126">
        <v>8</v>
      </c>
      <c r="D126">
        <v>10</v>
      </c>
      <c r="E126" s="7" cm="1">
        <f t="array" ref="E126">IF($B126="Weekday",INDEX(targets!$G$2:$G$13,MONTH($A126)),0)</f>
        <v>197.55</v>
      </c>
      <c r="F126" s="7" cm="1">
        <f t="array" ref="F126">IF($D126=10,INDEX(targets!$F$2:$F$13,MONTH($A126)),0)</f>
        <v>70.294117647058826</v>
      </c>
    </row>
    <row r="127" spans="1:6" x14ac:dyDescent="0.3">
      <c r="A127" s="1">
        <v>46148</v>
      </c>
      <c r="B127" t="s">
        <v>5</v>
      </c>
      <c r="C127">
        <v>8</v>
      </c>
      <c r="D127">
        <v>10</v>
      </c>
      <c r="E127" s="7" cm="1">
        <f t="array" ref="E127">IF($B127="Weekday",INDEX(targets!$G$2:$G$13,MONTH($A127)),0)</f>
        <v>197.55</v>
      </c>
      <c r="F127" s="7" cm="1">
        <f t="array" ref="F127">IF($D127=10,INDEX(targets!$F$2:$F$13,MONTH($A127)),0)</f>
        <v>70.294117647058826</v>
      </c>
    </row>
    <row r="128" spans="1:6" x14ac:dyDescent="0.3">
      <c r="A128" s="1">
        <v>46149</v>
      </c>
      <c r="B128" t="s">
        <v>5</v>
      </c>
      <c r="C128">
        <v>8</v>
      </c>
      <c r="D128">
        <v>10</v>
      </c>
      <c r="E128" s="7" cm="1">
        <f t="array" ref="E128">IF($B128="Weekday",INDEX(targets!$G$2:$G$13,MONTH($A128)),0)</f>
        <v>197.55</v>
      </c>
      <c r="F128" s="7" cm="1">
        <f t="array" ref="F128">IF($D128=10,INDEX(targets!$F$2:$F$13,MONTH($A128)),0)</f>
        <v>70.294117647058826</v>
      </c>
    </row>
    <row r="129" spans="1:6" x14ac:dyDescent="0.3">
      <c r="A129" s="1">
        <v>46150</v>
      </c>
      <c r="B129" t="s">
        <v>5</v>
      </c>
      <c r="C129">
        <v>8</v>
      </c>
      <c r="D129">
        <v>10</v>
      </c>
      <c r="E129" s="7" cm="1">
        <f t="array" ref="E129">IF($B129="Weekday",INDEX(targets!$G$2:$G$13,MONTH($A129)),0)</f>
        <v>197.55</v>
      </c>
      <c r="F129" s="7" cm="1">
        <f t="array" ref="F129">IF($D129=10,INDEX(targets!$F$2:$F$13,MONTH($A129)),0)</f>
        <v>70.294117647058826</v>
      </c>
    </row>
    <row r="130" spans="1:6" x14ac:dyDescent="0.3">
      <c r="A130" s="1">
        <v>46151</v>
      </c>
      <c r="B130" t="s">
        <v>6</v>
      </c>
      <c r="C130">
        <v>0</v>
      </c>
      <c r="D130">
        <v>0</v>
      </c>
      <c r="E130" s="7" cm="1">
        <f t="array" ref="E130">IF($B130="Weekday",INDEX(targets!$G$2:$G$13,MONTH($A130)),0)</f>
        <v>0</v>
      </c>
      <c r="F130" s="7" cm="1">
        <f t="array" ref="F130">IF($D130=10,INDEX(targets!$F$2:$F$13,MONTH($A130)),0)</f>
        <v>0</v>
      </c>
    </row>
    <row r="131" spans="1:6" x14ac:dyDescent="0.3">
      <c r="A131" s="1">
        <v>46152</v>
      </c>
      <c r="B131" t="s">
        <v>6</v>
      </c>
      <c r="C131">
        <v>0</v>
      </c>
      <c r="D131">
        <v>0</v>
      </c>
      <c r="E131" s="7" cm="1">
        <f t="array" ref="E131">IF($B131="Weekday",INDEX(targets!$G$2:$G$13,MONTH($A131)),0)</f>
        <v>0</v>
      </c>
      <c r="F131" s="7" cm="1">
        <f t="array" ref="F131">IF($D131=10,INDEX(targets!$F$2:$F$13,MONTH($A131)),0)</f>
        <v>0</v>
      </c>
    </row>
    <row r="132" spans="1:6" x14ac:dyDescent="0.3">
      <c r="A132" s="1">
        <v>46153</v>
      </c>
      <c r="B132" t="s">
        <v>5</v>
      </c>
      <c r="C132">
        <v>8</v>
      </c>
      <c r="D132">
        <v>10</v>
      </c>
      <c r="E132" s="7" cm="1">
        <f t="array" ref="E132">IF($B132="Weekday",INDEX(targets!$G$2:$G$13,MONTH($A132)),0)</f>
        <v>197.55</v>
      </c>
      <c r="F132" s="7" cm="1">
        <f t="array" ref="F132">IF($D132=10,INDEX(targets!$F$2:$F$13,MONTH($A132)),0)</f>
        <v>70.294117647058826</v>
      </c>
    </row>
    <row r="133" spans="1:6" x14ac:dyDescent="0.3">
      <c r="A133" s="1">
        <v>46154</v>
      </c>
      <c r="B133" t="s">
        <v>5</v>
      </c>
      <c r="C133">
        <v>8</v>
      </c>
      <c r="D133">
        <v>10</v>
      </c>
      <c r="E133" s="7" cm="1">
        <f t="array" ref="E133">IF($B133="Weekday",INDEX(targets!$G$2:$G$13,MONTH($A133)),0)</f>
        <v>197.55</v>
      </c>
      <c r="F133" s="7" cm="1">
        <f t="array" ref="F133">IF($D133=10,INDEX(targets!$F$2:$F$13,MONTH($A133)),0)</f>
        <v>70.294117647058826</v>
      </c>
    </row>
    <row r="134" spans="1:6" x14ac:dyDescent="0.3">
      <c r="A134" s="1">
        <v>46155</v>
      </c>
      <c r="B134" t="s">
        <v>5</v>
      </c>
      <c r="C134">
        <v>8</v>
      </c>
      <c r="D134">
        <v>10</v>
      </c>
      <c r="E134" s="7" cm="1">
        <f t="array" ref="E134">IF($B134="Weekday",INDEX(targets!$G$2:$G$13,MONTH($A134)),0)</f>
        <v>197.55</v>
      </c>
      <c r="F134" s="7" cm="1">
        <f t="array" ref="F134">IF($D134=10,INDEX(targets!$F$2:$F$13,MONTH($A134)),0)</f>
        <v>70.294117647058826</v>
      </c>
    </row>
    <row r="135" spans="1:6" x14ac:dyDescent="0.3">
      <c r="A135" s="1">
        <v>46156</v>
      </c>
      <c r="B135" t="s">
        <v>5</v>
      </c>
      <c r="C135">
        <v>8</v>
      </c>
      <c r="D135">
        <v>10</v>
      </c>
      <c r="E135" s="7" cm="1">
        <f t="array" ref="E135">IF($B135="Weekday",INDEX(targets!$G$2:$G$13,MONTH($A135)),0)</f>
        <v>197.55</v>
      </c>
      <c r="F135" s="7" cm="1">
        <f t="array" ref="F135">IF($D135=10,INDEX(targets!$F$2:$F$13,MONTH($A135)),0)</f>
        <v>70.294117647058826</v>
      </c>
    </row>
    <row r="136" spans="1:6" x14ac:dyDescent="0.3">
      <c r="A136" s="1">
        <v>46157</v>
      </c>
      <c r="B136" t="s">
        <v>5</v>
      </c>
      <c r="C136">
        <v>8</v>
      </c>
      <c r="D136">
        <v>0</v>
      </c>
      <c r="E136" s="7" cm="1">
        <f t="array" ref="E136">IF($B136="Weekday",INDEX(targets!$G$2:$G$13,MONTH($A136)),0)</f>
        <v>197.55</v>
      </c>
      <c r="F136" s="7" cm="1">
        <f t="array" ref="F136">IF($D136=10,INDEX(targets!$F$2:$F$13,MONTH($A136)),0)</f>
        <v>0</v>
      </c>
    </row>
    <row r="137" spans="1:6" x14ac:dyDescent="0.3">
      <c r="A137" s="1">
        <v>46158</v>
      </c>
      <c r="B137" t="s">
        <v>6</v>
      </c>
      <c r="C137">
        <v>0</v>
      </c>
      <c r="D137">
        <v>0</v>
      </c>
      <c r="E137" s="7" cm="1">
        <f t="array" ref="E137">IF($B137="Weekday",INDEX(targets!$G$2:$G$13,MONTH($A137)),0)</f>
        <v>0</v>
      </c>
      <c r="F137" s="7" cm="1">
        <f t="array" ref="F137">IF($D137=10,INDEX(targets!$F$2:$F$13,MONTH($A137)),0)</f>
        <v>0</v>
      </c>
    </row>
    <row r="138" spans="1:6" x14ac:dyDescent="0.3">
      <c r="A138" s="1">
        <v>46159</v>
      </c>
      <c r="B138" t="s">
        <v>6</v>
      </c>
      <c r="C138">
        <v>0</v>
      </c>
      <c r="D138">
        <v>0</v>
      </c>
      <c r="E138" s="7" cm="1">
        <f t="array" ref="E138">IF($B138="Weekday",INDEX(targets!$G$2:$G$13,MONTH($A138)),0)</f>
        <v>0</v>
      </c>
      <c r="F138" s="7" cm="1">
        <f t="array" ref="F138">IF($D138=10,INDEX(targets!$F$2:$F$13,MONTH($A138)),0)</f>
        <v>0</v>
      </c>
    </row>
    <row r="139" spans="1:6" x14ac:dyDescent="0.3">
      <c r="A139" s="1">
        <v>46160</v>
      </c>
      <c r="B139" t="s">
        <v>4</v>
      </c>
      <c r="C139">
        <v>0</v>
      </c>
      <c r="D139">
        <v>0</v>
      </c>
      <c r="E139" s="7" cm="1">
        <f t="array" ref="E139">IF($B139="Weekday",INDEX(targets!$G$2:$G$13,MONTH($A139)),0)</f>
        <v>0</v>
      </c>
      <c r="F139" s="7" cm="1">
        <f t="array" ref="F139">IF($D139=10,INDEX(targets!$F$2:$F$13,MONTH($A139)),0)</f>
        <v>0</v>
      </c>
    </row>
    <row r="140" spans="1:6" x14ac:dyDescent="0.3">
      <c r="A140" s="1">
        <v>46161</v>
      </c>
      <c r="B140" t="s">
        <v>5</v>
      </c>
      <c r="C140">
        <v>8</v>
      </c>
      <c r="D140">
        <v>10</v>
      </c>
      <c r="E140" s="7" cm="1">
        <f t="array" ref="E140">IF($B140="Weekday",INDEX(targets!$G$2:$G$13,MONTH($A140)),0)</f>
        <v>197.55</v>
      </c>
      <c r="F140" s="7" cm="1">
        <f t="array" ref="F140">IF($D140=10,INDEX(targets!$F$2:$F$13,MONTH($A140)),0)</f>
        <v>70.294117647058826</v>
      </c>
    </row>
    <row r="141" spans="1:6" x14ac:dyDescent="0.3">
      <c r="A141" s="1">
        <v>46162</v>
      </c>
      <c r="B141" t="s">
        <v>5</v>
      </c>
      <c r="C141">
        <v>8</v>
      </c>
      <c r="D141">
        <v>10</v>
      </c>
      <c r="E141" s="7" cm="1">
        <f t="array" ref="E141">IF($B141="Weekday",INDEX(targets!$G$2:$G$13,MONTH($A141)),0)</f>
        <v>197.55</v>
      </c>
      <c r="F141" s="7" cm="1">
        <f t="array" ref="F141">IF($D141=10,INDEX(targets!$F$2:$F$13,MONTH($A141)),0)</f>
        <v>70.294117647058826</v>
      </c>
    </row>
    <row r="142" spans="1:6" x14ac:dyDescent="0.3">
      <c r="A142" s="1">
        <v>46163</v>
      </c>
      <c r="B142" t="s">
        <v>5</v>
      </c>
      <c r="C142">
        <v>8</v>
      </c>
      <c r="D142">
        <v>10</v>
      </c>
      <c r="E142" s="7" cm="1">
        <f t="array" ref="E142">IF($B142="Weekday",INDEX(targets!$G$2:$G$13,MONTH($A142)),0)</f>
        <v>197.55</v>
      </c>
      <c r="F142" s="7" cm="1">
        <f t="array" ref="F142">IF($D142=10,INDEX(targets!$F$2:$F$13,MONTH($A142)),0)</f>
        <v>70.294117647058826</v>
      </c>
    </row>
    <row r="143" spans="1:6" x14ac:dyDescent="0.3">
      <c r="A143" s="1">
        <v>46164</v>
      </c>
      <c r="B143" t="s">
        <v>5</v>
      </c>
      <c r="C143">
        <v>8</v>
      </c>
      <c r="D143">
        <v>0</v>
      </c>
      <c r="E143" s="7" cm="1">
        <f t="array" ref="E143">IF($B143="Weekday",INDEX(targets!$G$2:$G$13,MONTH($A143)),0)</f>
        <v>197.55</v>
      </c>
      <c r="F143" s="7" cm="1">
        <f t="array" ref="F143">IF($D143=10,INDEX(targets!$F$2:$F$13,MONTH($A143)),0)</f>
        <v>0</v>
      </c>
    </row>
    <row r="144" spans="1:6" x14ac:dyDescent="0.3">
      <c r="A144" s="1">
        <v>46165</v>
      </c>
      <c r="B144" t="s">
        <v>6</v>
      </c>
      <c r="C144">
        <v>0</v>
      </c>
      <c r="D144">
        <v>0</v>
      </c>
      <c r="E144" s="7" cm="1">
        <f t="array" ref="E144">IF($B144="Weekday",INDEX(targets!$G$2:$G$13,MONTH($A144)),0)</f>
        <v>0</v>
      </c>
      <c r="F144" s="7" cm="1">
        <f t="array" ref="F144">IF($D144=10,INDEX(targets!$F$2:$F$13,MONTH($A144)),0)</f>
        <v>0</v>
      </c>
    </row>
    <row r="145" spans="1:6" x14ac:dyDescent="0.3">
      <c r="A145" s="1">
        <v>46166</v>
      </c>
      <c r="B145" t="s">
        <v>6</v>
      </c>
      <c r="C145">
        <v>0</v>
      </c>
      <c r="D145">
        <v>0</v>
      </c>
      <c r="E145" s="7" cm="1">
        <f t="array" ref="E145">IF($B145="Weekday",INDEX(targets!$G$2:$G$13,MONTH($A145)),0)</f>
        <v>0</v>
      </c>
      <c r="F145" s="7" cm="1">
        <f t="array" ref="F145">IF($D145=10,INDEX(targets!$F$2:$F$13,MONTH($A145)),0)</f>
        <v>0</v>
      </c>
    </row>
    <row r="146" spans="1:6" x14ac:dyDescent="0.3">
      <c r="A146" s="1">
        <v>46167</v>
      </c>
      <c r="B146" t="s">
        <v>5</v>
      </c>
      <c r="C146">
        <v>8</v>
      </c>
      <c r="D146">
        <v>10</v>
      </c>
      <c r="E146" s="7" cm="1">
        <f t="array" ref="E146">IF($B146="Weekday",INDEX(targets!$G$2:$G$13,MONTH($A146)),0)</f>
        <v>197.55</v>
      </c>
      <c r="F146" s="7" cm="1">
        <f t="array" ref="F146">IF($D146=10,INDEX(targets!$F$2:$F$13,MONTH($A146)),0)</f>
        <v>70.294117647058826</v>
      </c>
    </row>
    <row r="147" spans="1:6" x14ac:dyDescent="0.3">
      <c r="A147" s="1">
        <v>46168</v>
      </c>
      <c r="B147" t="s">
        <v>5</v>
      </c>
      <c r="C147">
        <v>8</v>
      </c>
      <c r="D147">
        <v>10</v>
      </c>
      <c r="E147" s="7" cm="1">
        <f t="array" ref="E147">IF($B147="Weekday",INDEX(targets!$G$2:$G$13,MONTH($A147)),0)</f>
        <v>197.55</v>
      </c>
      <c r="F147" s="7" cm="1">
        <f t="array" ref="F147">IF($D147=10,INDEX(targets!$F$2:$F$13,MONTH($A147)),0)</f>
        <v>70.294117647058826</v>
      </c>
    </row>
    <row r="148" spans="1:6" x14ac:dyDescent="0.3">
      <c r="A148" s="1">
        <v>46169</v>
      </c>
      <c r="B148" t="s">
        <v>5</v>
      </c>
      <c r="C148">
        <v>8</v>
      </c>
      <c r="D148">
        <v>10</v>
      </c>
      <c r="E148" s="7" cm="1">
        <f t="array" ref="E148">IF($B148="Weekday",INDEX(targets!$G$2:$G$13,MONTH($A148)),0)</f>
        <v>197.55</v>
      </c>
      <c r="F148" s="7" cm="1">
        <f t="array" ref="F148">IF($D148=10,INDEX(targets!$F$2:$F$13,MONTH($A148)),0)</f>
        <v>70.294117647058826</v>
      </c>
    </row>
    <row r="149" spans="1:6" x14ac:dyDescent="0.3">
      <c r="A149" s="1">
        <v>46170</v>
      </c>
      <c r="B149" t="s">
        <v>5</v>
      </c>
      <c r="C149">
        <v>8</v>
      </c>
      <c r="D149">
        <v>10</v>
      </c>
      <c r="E149" s="7" cm="1">
        <f t="array" ref="E149">IF($B149="Weekday",INDEX(targets!$G$2:$G$13,MONTH($A149)),0)</f>
        <v>197.55</v>
      </c>
      <c r="F149" s="7" cm="1">
        <f t="array" ref="F149">IF($D149=10,INDEX(targets!$F$2:$F$13,MONTH($A149)),0)</f>
        <v>70.294117647058826</v>
      </c>
    </row>
    <row r="150" spans="1:6" x14ac:dyDescent="0.3">
      <c r="A150" s="1">
        <v>46171</v>
      </c>
      <c r="B150" t="s">
        <v>5</v>
      </c>
      <c r="C150">
        <v>8</v>
      </c>
      <c r="D150">
        <v>0</v>
      </c>
      <c r="E150" s="7" cm="1">
        <f t="array" ref="E150">IF($B150="Weekday",INDEX(targets!$G$2:$G$13,MONTH($A150)),0)</f>
        <v>197.55</v>
      </c>
      <c r="F150" s="7" cm="1">
        <f t="array" ref="F150">IF($D150=10,INDEX(targets!$F$2:$F$13,MONTH($A150)),0)</f>
        <v>0</v>
      </c>
    </row>
    <row r="151" spans="1:6" x14ac:dyDescent="0.3">
      <c r="A151" s="1">
        <v>46172</v>
      </c>
      <c r="B151" t="s">
        <v>6</v>
      </c>
      <c r="C151">
        <v>0</v>
      </c>
      <c r="D151">
        <v>0</v>
      </c>
      <c r="E151" s="7" cm="1">
        <f t="array" ref="E151">IF($B151="Weekday",INDEX(targets!$G$2:$G$13,MONTH($A151)),0)</f>
        <v>0</v>
      </c>
      <c r="F151" s="7" cm="1">
        <f t="array" ref="F151">IF($D151=10,INDEX(targets!$F$2:$F$13,MONTH($A151)),0)</f>
        <v>0</v>
      </c>
    </row>
    <row r="152" spans="1:6" x14ac:dyDescent="0.3">
      <c r="A152" s="1">
        <v>46173</v>
      </c>
      <c r="B152" t="s">
        <v>6</v>
      </c>
      <c r="C152">
        <v>0</v>
      </c>
      <c r="D152">
        <v>0</v>
      </c>
      <c r="E152" s="7" cm="1">
        <f t="array" ref="E152">IF($B152="Weekday",INDEX(targets!$G$2:$G$13,MONTH($A152)),0)</f>
        <v>0</v>
      </c>
      <c r="F152" s="7" cm="1">
        <f t="array" ref="F152">IF($D152=10,INDEX(targets!$F$2:$F$13,MONTH($A152)),0)</f>
        <v>0</v>
      </c>
    </row>
    <row r="153" spans="1:6" x14ac:dyDescent="0.3">
      <c r="A153" s="1">
        <v>46174</v>
      </c>
      <c r="B153" t="s">
        <v>5</v>
      </c>
      <c r="C153">
        <v>8</v>
      </c>
      <c r="D153">
        <v>10</v>
      </c>
      <c r="E153" s="7" cm="1">
        <f t="array" ref="E153">IF($B153="Weekday",INDEX(targets!$G$2:$G$13,MONTH($A153)),0)</f>
        <v>181.77272727272728</v>
      </c>
      <c r="F153" s="7" cm="1">
        <f t="array" ref="F153">IF($D153=10,INDEX(targets!$F$2:$F$13,MONTH($A153)),0)</f>
        <v>66.388888888888886</v>
      </c>
    </row>
    <row r="154" spans="1:6" x14ac:dyDescent="0.3">
      <c r="A154" s="1">
        <v>46175</v>
      </c>
      <c r="B154" t="s">
        <v>5</v>
      </c>
      <c r="C154">
        <v>8</v>
      </c>
      <c r="D154">
        <v>10</v>
      </c>
      <c r="E154" s="7" cm="1">
        <f t="array" ref="E154">IF($B154="Weekday",INDEX(targets!$G$2:$G$13,MONTH($A154)),0)</f>
        <v>181.77272727272728</v>
      </c>
      <c r="F154" s="7" cm="1">
        <f t="array" ref="F154">IF($D154=10,INDEX(targets!$F$2:$F$13,MONTH($A154)),0)</f>
        <v>66.388888888888886</v>
      </c>
    </row>
    <row r="155" spans="1:6" x14ac:dyDescent="0.3">
      <c r="A155" s="1">
        <v>46176</v>
      </c>
      <c r="B155" t="s">
        <v>5</v>
      </c>
      <c r="C155">
        <v>8</v>
      </c>
      <c r="D155">
        <v>10</v>
      </c>
      <c r="E155" s="7" cm="1">
        <f t="array" ref="E155">IF($B155="Weekday",INDEX(targets!$G$2:$G$13,MONTH($A155)),0)</f>
        <v>181.77272727272728</v>
      </c>
      <c r="F155" s="7" cm="1">
        <f t="array" ref="F155">IF($D155=10,INDEX(targets!$F$2:$F$13,MONTH($A155)),0)</f>
        <v>66.388888888888886</v>
      </c>
    </row>
    <row r="156" spans="1:6" x14ac:dyDescent="0.3">
      <c r="A156" s="1">
        <v>46177</v>
      </c>
      <c r="B156" t="s">
        <v>5</v>
      </c>
      <c r="C156">
        <v>8</v>
      </c>
      <c r="D156">
        <v>10</v>
      </c>
      <c r="E156" s="7" cm="1">
        <f t="array" ref="E156">IF($B156="Weekday",INDEX(targets!$G$2:$G$13,MONTH($A156)),0)</f>
        <v>181.77272727272728</v>
      </c>
      <c r="F156" s="7" cm="1">
        <f t="array" ref="F156">IF($D156=10,INDEX(targets!$F$2:$F$13,MONTH($A156)),0)</f>
        <v>66.388888888888886</v>
      </c>
    </row>
    <row r="157" spans="1:6" x14ac:dyDescent="0.3">
      <c r="A157" s="1">
        <v>46178</v>
      </c>
      <c r="B157" t="s">
        <v>5</v>
      </c>
      <c r="C157">
        <v>8</v>
      </c>
      <c r="D157">
        <v>0</v>
      </c>
      <c r="E157" s="7" cm="1">
        <f t="array" ref="E157">IF($B157="Weekday",INDEX(targets!$G$2:$G$13,MONTH($A157)),0)</f>
        <v>181.77272727272728</v>
      </c>
      <c r="F157" s="7" cm="1">
        <f t="array" ref="F157">IF($D157=10,INDEX(targets!$F$2:$F$13,MONTH($A157)),0)</f>
        <v>0</v>
      </c>
    </row>
    <row r="158" spans="1:6" x14ac:dyDescent="0.3">
      <c r="A158" s="1">
        <v>46179</v>
      </c>
      <c r="B158" t="s">
        <v>6</v>
      </c>
      <c r="C158">
        <v>0</v>
      </c>
      <c r="D158">
        <v>0</v>
      </c>
      <c r="E158" s="7" cm="1">
        <f t="array" ref="E158">IF($B158="Weekday",INDEX(targets!$G$2:$G$13,MONTH($A158)),0)</f>
        <v>0</v>
      </c>
      <c r="F158" s="7" cm="1">
        <f t="array" ref="F158">IF($D158=10,INDEX(targets!$F$2:$F$13,MONTH($A158)),0)</f>
        <v>0</v>
      </c>
    </row>
    <row r="159" spans="1:6" x14ac:dyDescent="0.3">
      <c r="A159" s="1">
        <v>46180</v>
      </c>
      <c r="B159" t="s">
        <v>6</v>
      </c>
      <c r="C159">
        <v>0</v>
      </c>
      <c r="D159">
        <v>0</v>
      </c>
      <c r="E159" s="7" cm="1">
        <f t="array" ref="E159">IF($B159="Weekday",INDEX(targets!$G$2:$G$13,MONTH($A159)),0)</f>
        <v>0</v>
      </c>
      <c r="F159" s="7" cm="1">
        <f t="array" ref="F159">IF($D159=10,INDEX(targets!$F$2:$F$13,MONTH($A159)),0)</f>
        <v>0</v>
      </c>
    </row>
    <row r="160" spans="1:6" x14ac:dyDescent="0.3">
      <c r="A160" s="1">
        <v>46181</v>
      </c>
      <c r="B160" t="s">
        <v>5</v>
      </c>
      <c r="C160">
        <v>8</v>
      </c>
      <c r="D160">
        <v>10</v>
      </c>
      <c r="E160" s="7" cm="1">
        <f t="array" ref="E160">IF($B160="Weekday",INDEX(targets!$G$2:$G$13,MONTH($A160)),0)</f>
        <v>181.77272727272728</v>
      </c>
      <c r="F160" s="7" cm="1">
        <f t="array" ref="F160">IF($D160=10,INDEX(targets!$F$2:$F$13,MONTH($A160)),0)</f>
        <v>66.388888888888886</v>
      </c>
    </row>
    <row r="161" spans="1:6" x14ac:dyDescent="0.3">
      <c r="A161" s="1">
        <v>46182</v>
      </c>
      <c r="B161" t="s">
        <v>5</v>
      </c>
      <c r="C161">
        <v>8</v>
      </c>
      <c r="D161">
        <v>10</v>
      </c>
      <c r="E161" s="7" cm="1">
        <f t="array" ref="E161">IF($B161="Weekday",INDEX(targets!$G$2:$G$13,MONTH($A161)),0)</f>
        <v>181.77272727272728</v>
      </c>
      <c r="F161" s="7" cm="1">
        <f t="array" ref="F161">IF($D161=10,INDEX(targets!$F$2:$F$13,MONTH($A161)),0)</f>
        <v>66.388888888888886</v>
      </c>
    </row>
    <row r="162" spans="1:6" x14ac:dyDescent="0.3">
      <c r="A162" s="1">
        <v>46183</v>
      </c>
      <c r="B162" t="s">
        <v>5</v>
      </c>
      <c r="C162">
        <v>8</v>
      </c>
      <c r="D162">
        <v>10</v>
      </c>
      <c r="E162" s="7" cm="1">
        <f t="array" ref="E162">IF($B162="Weekday",INDEX(targets!$G$2:$G$13,MONTH($A162)),0)</f>
        <v>181.77272727272728</v>
      </c>
      <c r="F162" s="7" cm="1">
        <f t="array" ref="F162">IF($D162=10,INDEX(targets!$F$2:$F$13,MONTH($A162)),0)</f>
        <v>66.388888888888886</v>
      </c>
    </row>
    <row r="163" spans="1:6" x14ac:dyDescent="0.3">
      <c r="A163" s="1">
        <v>46184</v>
      </c>
      <c r="B163" t="s">
        <v>5</v>
      </c>
      <c r="C163">
        <v>8</v>
      </c>
      <c r="D163">
        <v>10</v>
      </c>
      <c r="E163" s="7" cm="1">
        <f t="array" ref="E163">IF($B163="Weekday",INDEX(targets!$G$2:$G$13,MONTH($A163)),0)</f>
        <v>181.77272727272728</v>
      </c>
      <c r="F163" s="7" cm="1">
        <f t="array" ref="F163">IF($D163=10,INDEX(targets!$F$2:$F$13,MONTH($A163)),0)</f>
        <v>66.388888888888886</v>
      </c>
    </row>
    <row r="164" spans="1:6" x14ac:dyDescent="0.3">
      <c r="A164" s="1">
        <v>46185</v>
      </c>
      <c r="B164" t="s">
        <v>5</v>
      </c>
      <c r="C164">
        <v>8</v>
      </c>
      <c r="D164">
        <v>0</v>
      </c>
      <c r="E164" s="7" cm="1">
        <f t="array" ref="E164">IF($B164="Weekday",INDEX(targets!$G$2:$G$13,MONTH($A164)),0)</f>
        <v>181.77272727272728</v>
      </c>
      <c r="F164" s="7" cm="1">
        <f t="array" ref="F164">IF($D164=10,INDEX(targets!$F$2:$F$13,MONTH($A164)),0)</f>
        <v>0</v>
      </c>
    </row>
    <row r="165" spans="1:6" x14ac:dyDescent="0.3">
      <c r="A165" s="1">
        <v>46186</v>
      </c>
      <c r="B165" t="s">
        <v>6</v>
      </c>
      <c r="C165">
        <v>0</v>
      </c>
      <c r="D165">
        <v>0</v>
      </c>
      <c r="E165" s="7" cm="1">
        <f t="array" ref="E165">IF($B165="Weekday",INDEX(targets!$G$2:$G$13,MONTH($A165)),0)</f>
        <v>0</v>
      </c>
      <c r="F165" s="7" cm="1">
        <f t="array" ref="F165">IF($D165=10,INDEX(targets!$F$2:$F$13,MONTH($A165)),0)</f>
        <v>0</v>
      </c>
    </row>
    <row r="166" spans="1:6" x14ac:dyDescent="0.3">
      <c r="A166" s="1">
        <v>46187</v>
      </c>
      <c r="B166" t="s">
        <v>6</v>
      </c>
      <c r="C166">
        <v>0</v>
      </c>
      <c r="D166">
        <v>0</v>
      </c>
      <c r="E166" s="7" cm="1">
        <f t="array" ref="E166">IF($B166="Weekday",INDEX(targets!$G$2:$G$13,MONTH($A166)),0)</f>
        <v>0</v>
      </c>
      <c r="F166" s="7" cm="1">
        <f t="array" ref="F166">IF($D166=10,INDEX(targets!$F$2:$F$13,MONTH($A166)),0)</f>
        <v>0</v>
      </c>
    </row>
    <row r="167" spans="1:6" x14ac:dyDescent="0.3">
      <c r="A167" s="1">
        <v>46188</v>
      </c>
      <c r="B167" t="s">
        <v>5</v>
      </c>
      <c r="C167">
        <v>8</v>
      </c>
      <c r="D167">
        <v>10</v>
      </c>
      <c r="E167" s="7" cm="1">
        <f t="array" ref="E167">IF($B167="Weekday",INDEX(targets!$G$2:$G$13,MONTH($A167)),0)</f>
        <v>181.77272727272728</v>
      </c>
      <c r="F167" s="7" cm="1">
        <f t="array" ref="F167">IF($D167=10,INDEX(targets!$F$2:$F$13,MONTH($A167)),0)</f>
        <v>66.388888888888886</v>
      </c>
    </row>
    <row r="168" spans="1:6" x14ac:dyDescent="0.3">
      <c r="A168" s="1">
        <v>46189</v>
      </c>
      <c r="B168" t="s">
        <v>5</v>
      </c>
      <c r="C168">
        <v>8</v>
      </c>
      <c r="D168">
        <v>10</v>
      </c>
      <c r="E168" s="7" cm="1">
        <f t="array" ref="E168">IF($B168="Weekday",INDEX(targets!$G$2:$G$13,MONTH($A168)),0)</f>
        <v>181.77272727272728</v>
      </c>
      <c r="F168" s="7" cm="1">
        <f t="array" ref="F168">IF($D168=10,INDEX(targets!$F$2:$F$13,MONTH($A168)),0)</f>
        <v>66.388888888888886</v>
      </c>
    </row>
    <row r="169" spans="1:6" x14ac:dyDescent="0.3">
      <c r="A169" s="1">
        <v>46190</v>
      </c>
      <c r="B169" t="s">
        <v>5</v>
      </c>
      <c r="C169">
        <v>8</v>
      </c>
      <c r="D169">
        <v>10</v>
      </c>
      <c r="E169" s="7" cm="1">
        <f t="array" ref="E169">IF($B169="Weekday",INDEX(targets!$G$2:$G$13,MONTH($A169)),0)</f>
        <v>181.77272727272728</v>
      </c>
      <c r="F169" s="7" cm="1">
        <f t="array" ref="F169">IF($D169=10,INDEX(targets!$F$2:$F$13,MONTH($A169)),0)</f>
        <v>66.388888888888886</v>
      </c>
    </row>
    <row r="170" spans="1:6" x14ac:dyDescent="0.3">
      <c r="A170" s="1">
        <v>46191</v>
      </c>
      <c r="B170" t="s">
        <v>5</v>
      </c>
      <c r="C170">
        <v>8</v>
      </c>
      <c r="D170">
        <v>10</v>
      </c>
      <c r="E170" s="7" cm="1">
        <f t="array" ref="E170">IF($B170="Weekday",INDEX(targets!$G$2:$G$13,MONTH($A170)),0)</f>
        <v>181.77272727272728</v>
      </c>
      <c r="F170" s="7" cm="1">
        <f t="array" ref="F170">IF($D170=10,INDEX(targets!$F$2:$F$13,MONTH($A170)),0)</f>
        <v>66.388888888888886</v>
      </c>
    </row>
    <row r="171" spans="1:6" x14ac:dyDescent="0.3">
      <c r="A171" s="1">
        <v>46192</v>
      </c>
      <c r="B171" t="s">
        <v>5</v>
      </c>
      <c r="C171">
        <v>8</v>
      </c>
      <c r="D171">
        <v>0</v>
      </c>
      <c r="E171" s="7" cm="1">
        <f t="array" ref="E171">IF($B171="Weekday",INDEX(targets!$G$2:$G$13,MONTH($A171)),0)</f>
        <v>181.77272727272728</v>
      </c>
      <c r="F171" s="7" cm="1">
        <f t="array" ref="F171">IF($D171=10,INDEX(targets!$F$2:$F$13,MONTH($A171)),0)</f>
        <v>0</v>
      </c>
    </row>
    <row r="172" spans="1:6" x14ac:dyDescent="0.3">
      <c r="A172" s="1">
        <v>46193</v>
      </c>
      <c r="B172" t="s">
        <v>6</v>
      </c>
      <c r="C172">
        <v>0</v>
      </c>
      <c r="D172">
        <v>0</v>
      </c>
      <c r="E172" s="7" cm="1">
        <f t="array" ref="E172">IF($B172="Weekday",INDEX(targets!$G$2:$G$13,MONTH($A172)),0)</f>
        <v>0</v>
      </c>
      <c r="F172" s="7" cm="1">
        <f t="array" ref="F172">IF($D172=10,INDEX(targets!$F$2:$F$13,MONTH($A172)),0)</f>
        <v>0</v>
      </c>
    </row>
    <row r="173" spans="1:6" x14ac:dyDescent="0.3">
      <c r="A173" s="1">
        <v>46194</v>
      </c>
      <c r="B173" t="s">
        <v>6</v>
      </c>
      <c r="C173">
        <v>0</v>
      </c>
      <c r="D173">
        <v>0</v>
      </c>
      <c r="E173" s="7" cm="1">
        <f t="array" ref="E173">IF($B173="Weekday",INDEX(targets!$G$2:$G$13,MONTH($A173)),0)</f>
        <v>0</v>
      </c>
      <c r="F173" s="7" cm="1">
        <f t="array" ref="F173">IF($D173=10,INDEX(targets!$F$2:$F$13,MONTH($A173)),0)</f>
        <v>0</v>
      </c>
    </row>
    <row r="174" spans="1:6" x14ac:dyDescent="0.3">
      <c r="A174" s="1">
        <v>46195</v>
      </c>
      <c r="B174" t="s">
        <v>5</v>
      </c>
      <c r="C174">
        <v>8</v>
      </c>
      <c r="D174">
        <v>10</v>
      </c>
      <c r="E174" s="7" cm="1">
        <f t="array" ref="E174">IF($B174="Weekday",INDEX(targets!$G$2:$G$13,MONTH($A174)),0)</f>
        <v>181.77272727272728</v>
      </c>
      <c r="F174" s="7" cm="1">
        <f t="array" ref="F174">IF($D174=10,INDEX(targets!$F$2:$F$13,MONTH($A174)),0)</f>
        <v>66.388888888888886</v>
      </c>
    </row>
    <row r="175" spans="1:6" x14ac:dyDescent="0.3">
      <c r="A175" s="1">
        <v>46196</v>
      </c>
      <c r="B175" t="s">
        <v>5</v>
      </c>
      <c r="C175">
        <v>8</v>
      </c>
      <c r="D175">
        <v>10</v>
      </c>
      <c r="E175" s="7" cm="1">
        <f t="array" ref="E175">IF($B175="Weekday",INDEX(targets!$G$2:$G$13,MONTH($A175)),0)</f>
        <v>181.77272727272728</v>
      </c>
      <c r="F175" s="7" cm="1">
        <f t="array" ref="F175">IF($D175=10,INDEX(targets!$F$2:$F$13,MONTH($A175)),0)</f>
        <v>66.388888888888886</v>
      </c>
    </row>
    <row r="176" spans="1:6" x14ac:dyDescent="0.3">
      <c r="A176" s="1">
        <v>46197</v>
      </c>
      <c r="B176" t="s">
        <v>5</v>
      </c>
      <c r="C176">
        <v>8</v>
      </c>
      <c r="D176">
        <v>10</v>
      </c>
      <c r="E176" s="7" cm="1">
        <f t="array" ref="E176">IF($B176="Weekday",INDEX(targets!$G$2:$G$13,MONTH($A176)),0)</f>
        <v>181.77272727272728</v>
      </c>
      <c r="F176" s="7" cm="1">
        <f t="array" ref="F176">IF($D176=10,INDEX(targets!$F$2:$F$13,MONTH($A176)),0)</f>
        <v>66.388888888888886</v>
      </c>
    </row>
    <row r="177" spans="1:6" x14ac:dyDescent="0.3">
      <c r="A177" s="1">
        <v>46198</v>
      </c>
      <c r="B177" t="s">
        <v>5</v>
      </c>
      <c r="C177">
        <v>8</v>
      </c>
      <c r="D177">
        <v>10</v>
      </c>
      <c r="E177" s="7" cm="1">
        <f t="array" ref="E177">IF($B177="Weekday",INDEX(targets!$G$2:$G$13,MONTH($A177)),0)</f>
        <v>181.77272727272728</v>
      </c>
      <c r="F177" s="7" cm="1">
        <f t="array" ref="F177">IF($D177=10,INDEX(targets!$F$2:$F$13,MONTH($A177)),0)</f>
        <v>66.388888888888886</v>
      </c>
    </row>
    <row r="178" spans="1:6" x14ac:dyDescent="0.3">
      <c r="A178" s="1">
        <v>46199</v>
      </c>
      <c r="B178" t="s">
        <v>5</v>
      </c>
      <c r="C178">
        <v>8</v>
      </c>
      <c r="D178">
        <v>0</v>
      </c>
      <c r="E178" s="7" cm="1">
        <f t="array" ref="E178">IF($B178="Weekday",INDEX(targets!$G$2:$G$13,MONTH($A178)),0)</f>
        <v>181.77272727272728</v>
      </c>
      <c r="F178" s="7" cm="1">
        <f t="array" ref="F178">IF($D178=10,INDEX(targets!$F$2:$F$13,MONTH($A178)),0)</f>
        <v>0</v>
      </c>
    </row>
    <row r="179" spans="1:6" x14ac:dyDescent="0.3">
      <c r="A179" s="1">
        <v>46200</v>
      </c>
      <c r="B179" t="s">
        <v>6</v>
      </c>
      <c r="C179">
        <v>0</v>
      </c>
      <c r="D179">
        <v>0</v>
      </c>
      <c r="E179" s="7" cm="1">
        <f t="array" ref="E179">IF($B179="Weekday",INDEX(targets!$G$2:$G$13,MONTH($A179)),0)</f>
        <v>0</v>
      </c>
      <c r="F179" s="7" cm="1">
        <f t="array" ref="F179">IF($D179=10,INDEX(targets!$F$2:$F$13,MONTH($A179)),0)</f>
        <v>0</v>
      </c>
    </row>
    <row r="180" spans="1:6" x14ac:dyDescent="0.3">
      <c r="A180" s="1">
        <v>46201</v>
      </c>
      <c r="B180" t="s">
        <v>6</v>
      </c>
      <c r="C180">
        <v>0</v>
      </c>
      <c r="D180">
        <v>0</v>
      </c>
      <c r="E180" s="7" cm="1">
        <f t="array" ref="E180">IF($B180="Weekday",INDEX(targets!$G$2:$G$13,MONTH($A180)),0)</f>
        <v>0</v>
      </c>
      <c r="F180" s="7" cm="1">
        <f t="array" ref="F180">IF($D180=10,INDEX(targets!$F$2:$F$13,MONTH($A180)),0)</f>
        <v>0</v>
      </c>
    </row>
    <row r="181" spans="1:6" x14ac:dyDescent="0.3">
      <c r="A181" s="1">
        <v>46202</v>
      </c>
      <c r="B181" t="s">
        <v>5</v>
      </c>
      <c r="C181">
        <v>8</v>
      </c>
      <c r="D181">
        <v>10</v>
      </c>
      <c r="E181" s="7" cm="1">
        <f t="array" ref="E181">IF($B181="Weekday",INDEX(targets!$G$2:$G$13,MONTH($A181)),0)</f>
        <v>181.77272727272728</v>
      </c>
      <c r="F181" s="7" cm="1">
        <f t="array" ref="F181">IF($D181=10,INDEX(targets!$F$2:$F$13,MONTH($A181)),0)</f>
        <v>66.388888888888886</v>
      </c>
    </row>
    <row r="182" spans="1:6" x14ac:dyDescent="0.3">
      <c r="A182" s="1">
        <v>46203</v>
      </c>
      <c r="B182" t="s">
        <v>5</v>
      </c>
      <c r="C182">
        <v>8</v>
      </c>
      <c r="D182">
        <v>10</v>
      </c>
      <c r="E182" s="7" cm="1">
        <f t="array" ref="E182">IF($B182="Weekday",INDEX(targets!$G$2:$G$13,MONTH($A182)),0)</f>
        <v>181.77272727272728</v>
      </c>
      <c r="F182" s="7" cm="1">
        <f t="array" ref="F182">IF($D182=10,INDEX(targets!$F$2:$F$13,MONTH($A182)),0)</f>
        <v>66.388888888888886</v>
      </c>
    </row>
    <row r="183" spans="1:6" x14ac:dyDescent="0.3">
      <c r="A183" s="1">
        <v>46204</v>
      </c>
      <c r="B183" t="s">
        <v>4</v>
      </c>
      <c r="C183">
        <v>0</v>
      </c>
      <c r="D183">
        <v>0</v>
      </c>
      <c r="E183" s="7" cm="1">
        <f t="array" ref="E183">IF($B183="Weekday",INDEX(targets!$G$2:$G$13,MONTH($A183)),0)</f>
        <v>0</v>
      </c>
      <c r="F183" s="7" cm="1">
        <f t="array" ref="F183">IF($D183=10,INDEX(targets!$F$2:$F$13,MONTH($A183)),0)</f>
        <v>0</v>
      </c>
    </row>
    <row r="184" spans="1:6" x14ac:dyDescent="0.3">
      <c r="A184" s="1">
        <v>46205</v>
      </c>
      <c r="B184" t="s">
        <v>5</v>
      </c>
      <c r="C184">
        <v>8</v>
      </c>
      <c r="D184">
        <v>10</v>
      </c>
      <c r="E184" s="7" cm="1">
        <f t="array" ref="E184">IF($B184="Weekday",INDEX(targets!$G$2:$G$13,MONTH($A184)),0)</f>
        <v>166.36363636363637</v>
      </c>
      <c r="F184" s="7" cm="1">
        <f t="array" ref="F184">IF($D184=10,INDEX(targets!$F$2:$F$13,MONTH($A184)),0)</f>
        <v>57.631578947368418</v>
      </c>
    </row>
    <row r="185" spans="1:6" x14ac:dyDescent="0.3">
      <c r="A185" s="1">
        <v>46206</v>
      </c>
      <c r="B185" t="s">
        <v>5</v>
      </c>
      <c r="C185">
        <v>8</v>
      </c>
      <c r="D185">
        <v>10</v>
      </c>
      <c r="E185" s="7" cm="1">
        <f t="array" ref="E185">IF($B185="Weekday",INDEX(targets!$G$2:$G$13,MONTH($A185)),0)</f>
        <v>166.36363636363637</v>
      </c>
      <c r="F185" s="7" cm="1">
        <f t="array" ref="F185">IF($D185=10,INDEX(targets!$F$2:$F$13,MONTH($A185)),0)</f>
        <v>57.631578947368418</v>
      </c>
    </row>
    <row r="186" spans="1:6" x14ac:dyDescent="0.3">
      <c r="A186" s="1">
        <v>46207</v>
      </c>
      <c r="B186" t="s">
        <v>6</v>
      </c>
      <c r="C186">
        <v>0</v>
      </c>
      <c r="D186">
        <v>0</v>
      </c>
      <c r="E186" s="7" cm="1">
        <f t="array" ref="E186">IF($B186="Weekday",INDEX(targets!$G$2:$G$13,MONTH($A186)),0)</f>
        <v>0</v>
      </c>
      <c r="F186" s="7" cm="1">
        <f t="array" ref="F186">IF($D186=10,INDEX(targets!$F$2:$F$13,MONTH($A186)),0)</f>
        <v>0</v>
      </c>
    </row>
    <row r="187" spans="1:6" x14ac:dyDescent="0.3">
      <c r="A187" s="1">
        <v>46208</v>
      </c>
      <c r="B187" t="s">
        <v>6</v>
      </c>
      <c r="C187">
        <v>0</v>
      </c>
      <c r="D187">
        <v>0</v>
      </c>
      <c r="E187" s="7" cm="1">
        <f t="array" ref="E187">IF($B187="Weekday",INDEX(targets!$G$2:$G$13,MONTH($A187)),0)</f>
        <v>0</v>
      </c>
      <c r="F187" s="7" cm="1">
        <f t="array" ref="F187">IF($D187=10,INDEX(targets!$F$2:$F$13,MONTH($A187)),0)</f>
        <v>0</v>
      </c>
    </row>
    <row r="188" spans="1:6" x14ac:dyDescent="0.3">
      <c r="A188" s="1">
        <v>46209</v>
      </c>
      <c r="B188" t="s">
        <v>5</v>
      </c>
      <c r="C188">
        <v>8</v>
      </c>
      <c r="D188">
        <v>10</v>
      </c>
      <c r="E188" s="7" cm="1">
        <f t="array" ref="E188">IF($B188="Weekday",INDEX(targets!$G$2:$G$13,MONTH($A188)),0)</f>
        <v>166.36363636363637</v>
      </c>
      <c r="F188" s="7" cm="1">
        <f t="array" ref="F188">IF($D188=10,INDEX(targets!$F$2:$F$13,MONTH($A188)),0)</f>
        <v>57.631578947368418</v>
      </c>
    </row>
    <row r="189" spans="1:6" x14ac:dyDescent="0.3">
      <c r="A189" s="1">
        <v>46210</v>
      </c>
      <c r="B189" t="s">
        <v>5</v>
      </c>
      <c r="C189">
        <v>8</v>
      </c>
      <c r="D189">
        <v>10</v>
      </c>
      <c r="E189" s="7" cm="1">
        <f t="array" ref="E189">IF($B189="Weekday",INDEX(targets!$G$2:$G$13,MONTH($A189)),0)</f>
        <v>166.36363636363637</v>
      </c>
      <c r="F189" s="7" cm="1">
        <f t="array" ref="F189">IF($D189=10,INDEX(targets!$F$2:$F$13,MONTH($A189)),0)</f>
        <v>57.631578947368418</v>
      </c>
    </row>
    <row r="190" spans="1:6" x14ac:dyDescent="0.3">
      <c r="A190" s="1">
        <v>46211</v>
      </c>
      <c r="B190" t="s">
        <v>5</v>
      </c>
      <c r="C190">
        <v>8</v>
      </c>
      <c r="D190">
        <v>10</v>
      </c>
      <c r="E190" s="7" cm="1">
        <f t="array" ref="E190">IF($B190="Weekday",INDEX(targets!$G$2:$G$13,MONTH($A190)),0)</f>
        <v>166.36363636363637</v>
      </c>
      <c r="F190" s="7" cm="1">
        <f t="array" ref="F190">IF($D190=10,INDEX(targets!$F$2:$F$13,MONTH($A190)),0)</f>
        <v>57.631578947368418</v>
      </c>
    </row>
    <row r="191" spans="1:6" x14ac:dyDescent="0.3">
      <c r="A191" s="1">
        <v>46212</v>
      </c>
      <c r="B191" t="s">
        <v>5</v>
      </c>
      <c r="C191">
        <v>8</v>
      </c>
      <c r="D191">
        <v>10</v>
      </c>
      <c r="E191" s="7" cm="1">
        <f t="array" ref="E191">IF($B191="Weekday",INDEX(targets!$G$2:$G$13,MONTH($A191)),0)</f>
        <v>166.36363636363637</v>
      </c>
      <c r="F191" s="7" cm="1">
        <f t="array" ref="F191">IF($D191=10,INDEX(targets!$F$2:$F$13,MONTH($A191)),0)</f>
        <v>57.631578947368418</v>
      </c>
    </row>
    <row r="192" spans="1:6" x14ac:dyDescent="0.3">
      <c r="A192" s="1">
        <v>46213</v>
      </c>
      <c r="B192" t="s">
        <v>5</v>
      </c>
      <c r="C192">
        <v>8</v>
      </c>
      <c r="D192">
        <v>10</v>
      </c>
      <c r="E192" s="7" cm="1">
        <f t="array" ref="E192">IF($B192="Weekday",INDEX(targets!$G$2:$G$13,MONTH($A192)),0)</f>
        <v>166.36363636363637</v>
      </c>
      <c r="F192" s="7" cm="1">
        <f t="array" ref="F192">IF($D192=10,INDEX(targets!$F$2:$F$13,MONTH($A192)),0)</f>
        <v>57.631578947368418</v>
      </c>
    </row>
    <row r="193" spans="1:6" x14ac:dyDescent="0.3">
      <c r="A193" s="1">
        <v>46214</v>
      </c>
      <c r="B193" t="s">
        <v>6</v>
      </c>
      <c r="C193">
        <v>0</v>
      </c>
      <c r="D193">
        <v>0</v>
      </c>
      <c r="E193" s="7" cm="1">
        <f t="array" ref="E193">IF($B193="Weekday",INDEX(targets!$G$2:$G$13,MONTH($A193)),0)</f>
        <v>0</v>
      </c>
      <c r="F193" s="7" cm="1">
        <f t="array" ref="F193">IF($D193=10,INDEX(targets!$F$2:$F$13,MONTH($A193)),0)</f>
        <v>0</v>
      </c>
    </row>
    <row r="194" spans="1:6" x14ac:dyDescent="0.3">
      <c r="A194" s="1">
        <v>46215</v>
      </c>
      <c r="B194" t="s">
        <v>6</v>
      </c>
      <c r="C194">
        <v>0</v>
      </c>
      <c r="D194">
        <v>0</v>
      </c>
      <c r="E194" s="7" cm="1">
        <f t="array" ref="E194">IF($B194="Weekday",INDEX(targets!$G$2:$G$13,MONTH($A194)),0)</f>
        <v>0</v>
      </c>
      <c r="F194" s="7" cm="1">
        <f t="array" ref="F194">IF($D194=10,INDEX(targets!$F$2:$F$13,MONTH($A194)),0)</f>
        <v>0</v>
      </c>
    </row>
    <row r="195" spans="1:6" x14ac:dyDescent="0.3">
      <c r="A195" s="1">
        <v>46216</v>
      </c>
      <c r="B195" t="s">
        <v>5</v>
      </c>
      <c r="C195">
        <v>8</v>
      </c>
      <c r="D195">
        <v>10</v>
      </c>
      <c r="E195" s="7" cm="1">
        <f t="array" ref="E195">IF($B195="Weekday",INDEX(targets!$G$2:$G$13,MONTH($A195)),0)</f>
        <v>166.36363636363637</v>
      </c>
      <c r="F195" s="7" cm="1">
        <f t="array" ref="F195">IF($D195=10,INDEX(targets!$F$2:$F$13,MONTH($A195)),0)</f>
        <v>57.631578947368418</v>
      </c>
    </row>
    <row r="196" spans="1:6" x14ac:dyDescent="0.3">
      <c r="A196" s="1">
        <v>46217</v>
      </c>
      <c r="B196" t="s">
        <v>5</v>
      </c>
      <c r="C196">
        <v>8</v>
      </c>
      <c r="D196">
        <v>10</v>
      </c>
      <c r="E196" s="7" cm="1">
        <f t="array" ref="E196">IF($B196="Weekday",INDEX(targets!$G$2:$G$13,MONTH($A196)),0)</f>
        <v>166.36363636363637</v>
      </c>
      <c r="F196" s="7" cm="1">
        <f t="array" ref="F196">IF($D196=10,INDEX(targets!$F$2:$F$13,MONTH($A196)),0)</f>
        <v>57.631578947368418</v>
      </c>
    </row>
    <row r="197" spans="1:6" x14ac:dyDescent="0.3">
      <c r="A197" s="1">
        <v>46218</v>
      </c>
      <c r="B197" t="s">
        <v>5</v>
      </c>
      <c r="C197">
        <v>8</v>
      </c>
      <c r="D197">
        <v>10</v>
      </c>
      <c r="E197" s="7" cm="1">
        <f t="array" ref="E197">IF($B197="Weekday",INDEX(targets!$G$2:$G$13,MONTH($A197)),0)</f>
        <v>166.36363636363637</v>
      </c>
      <c r="F197" s="7" cm="1">
        <f t="array" ref="F197">IF($D197=10,INDEX(targets!$F$2:$F$13,MONTH($A197)),0)</f>
        <v>57.631578947368418</v>
      </c>
    </row>
    <row r="198" spans="1:6" x14ac:dyDescent="0.3">
      <c r="A198" s="1">
        <v>46219</v>
      </c>
      <c r="B198" t="s">
        <v>5</v>
      </c>
      <c r="C198">
        <v>8</v>
      </c>
      <c r="D198">
        <v>10</v>
      </c>
      <c r="E198" s="7" cm="1">
        <f t="array" ref="E198">IF($B198="Weekday",INDEX(targets!$G$2:$G$13,MONTH($A198)),0)</f>
        <v>166.36363636363637</v>
      </c>
      <c r="F198" s="7" cm="1">
        <f t="array" ref="F198">IF($D198=10,INDEX(targets!$F$2:$F$13,MONTH($A198)),0)</f>
        <v>57.631578947368418</v>
      </c>
    </row>
    <row r="199" spans="1:6" x14ac:dyDescent="0.3">
      <c r="A199" s="1">
        <v>46220</v>
      </c>
      <c r="B199" t="s">
        <v>5</v>
      </c>
      <c r="C199">
        <v>8</v>
      </c>
      <c r="D199">
        <v>0</v>
      </c>
      <c r="E199" s="7" cm="1">
        <f t="array" ref="E199">IF($B199="Weekday",INDEX(targets!$G$2:$G$13,MONTH($A199)),0)</f>
        <v>166.36363636363637</v>
      </c>
      <c r="F199" s="7" cm="1">
        <f t="array" ref="F199">IF($D199=10,INDEX(targets!$F$2:$F$13,MONTH($A199)),0)</f>
        <v>0</v>
      </c>
    </row>
    <row r="200" spans="1:6" x14ac:dyDescent="0.3">
      <c r="A200" s="1">
        <v>46221</v>
      </c>
      <c r="B200" t="s">
        <v>6</v>
      </c>
      <c r="C200">
        <v>0</v>
      </c>
      <c r="D200">
        <v>0</v>
      </c>
      <c r="E200" s="7" cm="1">
        <f t="array" ref="E200">IF($B200="Weekday",INDEX(targets!$G$2:$G$13,MONTH($A200)),0)</f>
        <v>0</v>
      </c>
      <c r="F200" s="7" cm="1">
        <f t="array" ref="F200">IF($D200=10,INDEX(targets!$F$2:$F$13,MONTH($A200)),0)</f>
        <v>0</v>
      </c>
    </row>
    <row r="201" spans="1:6" x14ac:dyDescent="0.3">
      <c r="A201" s="1">
        <v>46222</v>
      </c>
      <c r="B201" t="s">
        <v>6</v>
      </c>
      <c r="C201">
        <v>0</v>
      </c>
      <c r="D201">
        <v>0</v>
      </c>
      <c r="E201" s="7" cm="1">
        <f t="array" ref="E201">IF($B201="Weekday",INDEX(targets!$G$2:$G$13,MONTH($A201)),0)</f>
        <v>0</v>
      </c>
      <c r="F201" s="7" cm="1">
        <f t="array" ref="F201">IF($D201=10,INDEX(targets!$F$2:$F$13,MONTH($A201)),0)</f>
        <v>0</v>
      </c>
    </row>
    <row r="202" spans="1:6" x14ac:dyDescent="0.3">
      <c r="A202" s="1">
        <v>46223</v>
      </c>
      <c r="B202" t="s">
        <v>5</v>
      </c>
      <c r="C202">
        <v>8</v>
      </c>
      <c r="D202">
        <v>10</v>
      </c>
      <c r="E202" s="7" cm="1">
        <f t="array" ref="E202">IF($B202="Weekday",INDEX(targets!$G$2:$G$13,MONTH($A202)),0)</f>
        <v>166.36363636363637</v>
      </c>
      <c r="F202" s="7" cm="1">
        <f t="array" ref="F202">IF($D202=10,INDEX(targets!$F$2:$F$13,MONTH($A202)),0)</f>
        <v>57.631578947368418</v>
      </c>
    </row>
    <row r="203" spans="1:6" x14ac:dyDescent="0.3">
      <c r="A203" s="1">
        <v>46224</v>
      </c>
      <c r="B203" t="s">
        <v>5</v>
      </c>
      <c r="C203">
        <v>8</v>
      </c>
      <c r="D203">
        <v>10</v>
      </c>
      <c r="E203" s="7" cm="1">
        <f t="array" ref="E203">IF($B203="Weekday",INDEX(targets!$G$2:$G$13,MONTH($A203)),0)</f>
        <v>166.36363636363637</v>
      </c>
      <c r="F203" s="7" cm="1">
        <f t="array" ref="F203">IF($D203=10,INDEX(targets!$F$2:$F$13,MONTH($A203)),0)</f>
        <v>57.631578947368418</v>
      </c>
    </row>
    <row r="204" spans="1:6" x14ac:dyDescent="0.3">
      <c r="A204" s="1">
        <v>46225</v>
      </c>
      <c r="B204" t="s">
        <v>5</v>
      </c>
      <c r="C204">
        <v>8</v>
      </c>
      <c r="D204">
        <v>10</v>
      </c>
      <c r="E204" s="7" cm="1">
        <f t="array" ref="E204">IF($B204="Weekday",INDEX(targets!$G$2:$G$13,MONTH($A204)),0)</f>
        <v>166.36363636363637</v>
      </c>
      <c r="F204" s="7" cm="1">
        <f t="array" ref="F204">IF($D204=10,INDEX(targets!$F$2:$F$13,MONTH($A204)),0)</f>
        <v>57.631578947368418</v>
      </c>
    </row>
    <row r="205" spans="1:6" x14ac:dyDescent="0.3">
      <c r="A205" s="1">
        <v>46226</v>
      </c>
      <c r="B205" t="s">
        <v>5</v>
      </c>
      <c r="C205">
        <v>8</v>
      </c>
      <c r="D205">
        <v>10</v>
      </c>
      <c r="E205" s="7" cm="1">
        <f t="array" ref="E205">IF($B205="Weekday",INDEX(targets!$G$2:$G$13,MONTH($A205)),0)</f>
        <v>166.36363636363637</v>
      </c>
      <c r="F205" s="7" cm="1">
        <f t="array" ref="F205">IF($D205=10,INDEX(targets!$F$2:$F$13,MONTH($A205)),0)</f>
        <v>57.631578947368418</v>
      </c>
    </row>
    <row r="206" spans="1:6" x14ac:dyDescent="0.3">
      <c r="A206" s="1">
        <v>46227</v>
      </c>
      <c r="B206" t="s">
        <v>5</v>
      </c>
      <c r="C206">
        <v>8</v>
      </c>
      <c r="D206">
        <v>0</v>
      </c>
      <c r="E206" s="7" cm="1">
        <f t="array" ref="E206">IF($B206="Weekday",INDEX(targets!$G$2:$G$13,MONTH($A206)),0)</f>
        <v>166.36363636363637</v>
      </c>
      <c r="F206" s="7" cm="1">
        <f t="array" ref="F206">IF($D206=10,INDEX(targets!$F$2:$F$13,MONTH($A206)),0)</f>
        <v>0</v>
      </c>
    </row>
    <row r="207" spans="1:6" x14ac:dyDescent="0.3">
      <c r="A207" s="1">
        <v>46228</v>
      </c>
      <c r="B207" t="s">
        <v>6</v>
      </c>
      <c r="C207">
        <v>0</v>
      </c>
      <c r="D207">
        <v>0</v>
      </c>
      <c r="E207" s="7" cm="1">
        <f t="array" ref="E207">IF($B207="Weekday",INDEX(targets!$G$2:$G$13,MONTH($A207)),0)</f>
        <v>0</v>
      </c>
      <c r="F207" s="7" cm="1">
        <f t="array" ref="F207">IF($D207=10,INDEX(targets!$F$2:$F$13,MONTH($A207)),0)</f>
        <v>0</v>
      </c>
    </row>
    <row r="208" spans="1:6" x14ac:dyDescent="0.3">
      <c r="A208" s="1">
        <v>46229</v>
      </c>
      <c r="B208" t="s">
        <v>6</v>
      </c>
      <c r="C208">
        <v>0</v>
      </c>
      <c r="D208">
        <v>0</v>
      </c>
      <c r="E208" s="7" cm="1">
        <f t="array" ref="E208">IF($B208="Weekday",INDEX(targets!$G$2:$G$13,MONTH($A208)),0)</f>
        <v>0</v>
      </c>
      <c r="F208" s="7" cm="1">
        <f t="array" ref="F208">IF($D208=10,INDEX(targets!$F$2:$F$13,MONTH($A208)),0)</f>
        <v>0</v>
      </c>
    </row>
    <row r="209" spans="1:6" x14ac:dyDescent="0.3">
      <c r="A209" s="1">
        <v>46230</v>
      </c>
      <c r="B209" t="s">
        <v>5</v>
      </c>
      <c r="C209">
        <v>8</v>
      </c>
      <c r="D209">
        <v>10</v>
      </c>
      <c r="E209" s="7" cm="1">
        <f t="array" ref="E209">IF($B209="Weekday",INDEX(targets!$G$2:$G$13,MONTH($A209)),0)</f>
        <v>166.36363636363637</v>
      </c>
      <c r="F209" s="7" cm="1">
        <f t="array" ref="F209">IF($D209=10,INDEX(targets!$F$2:$F$13,MONTH($A209)),0)</f>
        <v>57.631578947368418</v>
      </c>
    </row>
    <row r="210" spans="1:6" x14ac:dyDescent="0.3">
      <c r="A210" s="1">
        <v>46231</v>
      </c>
      <c r="B210" t="s">
        <v>5</v>
      </c>
      <c r="C210">
        <v>8</v>
      </c>
      <c r="D210">
        <v>10</v>
      </c>
      <c r="E210" s="7" cm="1">
        <f t="array" ref="E210">IF($B210="Weekday",INDEX(targets!$G$2:$G$13,MONTH($A210)),0)</f>
        <v>166.36363636363637</v>
      </c>
      <c r="F210" s="7" cm="1">
        <f t="array" ref="F210">IF($D210=10,INDEX(targets!$F$2:$F$13,MONTH($A210)),0)</f>
        <v>57.631578947368418</v>
      </c>
    </row>
    <row r="211" spans="1:6" x14ac:dyDescent="0.3">
      <c r="A211" s="1">
        <v>46232</v>
      </c>
      <c r="B211" t="s">
        <v>5</v>
      </c>
      <c r="C211">
        <v>8</v>
      </c>
      <c r="D211">
        <v>10</v>
      </c>
      <c r="E211" s="7" cm="1">
        <f t="array" ref="E211">IF($B211="Weekday",INDEX(targets!$G$2:$G$13,MONTH($A211)),0)</f>
        <v>166.36363636363637</v>
      </c>
      <c r="F211" s="7" cm="1">
        <f t="array" ref="F211">IF($D211=10,INDEX(targets!$F$2:$F$13,MONTH($A211)),0)</f>
        <v>57.631578947368418</v>
      </c>
    </row>
    <row r="212" spans="1:6" x14ac:dyDescent="0.3">
      <c r="A212" s="1">
        <v>46233</v>
      </c>
      <c r="B212" t="s">
        <v>5</v>
      </c>
      <c r="C212">
        <v>8</v>
      </c>
      <c r="D212">
        <v>10</v>
      </c>
      <c r="E212" s="7" cm="1">
        <f t="array" ref="E212">IF($B212="Weekday",INDEX(targets!$G$2:$G$13,MONTH($A212)),0)</f>
        <v>166.36363636363637</v>
      </c>
      <c r="F212" s="7" cm="1">
        <f t="array" ref="F212">IF($D212=10,INDEX(targets!$F$2:$F$13,MONTH($A212)),0)</f>
        <v>57.631578947368418</v>
      </c>
    </row>
    <row r="213" spans="1:6" x14ac:dyDescent="0.3">
      <c r="A213" s="1">
        <v>46234</v>
      </c>
      <c r="B213" t="s">
        <v>5</v>
      </c>
      <c r="C213">
        <v>8</v>
      </c>
      <c r="D213">
        <v>0</v>
      </c>
      <c r="E213" s="7" cm="1">
        <f t="array" ref="E213">IF($B213="Weekday",INDEX(targets!$G$2:$G$13,MONTH($A213)),0)</f>
        <v>166.36363636363637</v>
      </c>
      <c r="F213" s="7" cm="1">
        <f t="array" ref="F213">IF($D213=10,INDEX(targets!$F$2:$F$13,MONTH($A213)),0)</f>
        <v>0</v>
      </c>
    </row>
    <row r="214" spans="1:6" x14ac:dyDescent="0.3">
      <c r="A214" s="1">
        <v>46235</v>
      </c>
      <c r="B214" t="s">
        <v>6</v>
      </c>
      <c r="C214">
        <v>0</v>
      </c>
      <c r="D214">
        <v>0</v>
      </c>
      <c r="E214" s="7" cm="1">
        <f t="array" ref="E214">IF($B214="Weekday",INDEX(targets!$G$2:$G$13,MONTH($A214)),0)</f>
        <v>0</v>
      </c>
      <c r="F214" s="7" cm="1">
        <f t="array" ref="F214">IF($D214=10,INDEX(targets!$F$2:$F$13,MONTH($A214)),0)</f>
        <v>0</v>
      </c>
    </row>
    <row r="215" spans="1:6" x14ac:dyDescent="0.3">
      <c r="A215" s="1">
        <v>46236</v>
      </c>
      <c r="B215" t="s">
        <v>6</v>
      </c>
      <c r="C215">
        <v>0</v>
      </c>
      <c r="D215">
        <v>0</v>
      </c>
      <c r="E215" s="7" cm="1">
        <f t="array" ref="E215">IF($B215="Weekday",INDEX(targets!$G$2:$G$13,MONTH($A215)),0)</f>
        <v>0</v>
      </c>
      <c r="F215" s="7" cm="1">
        <f t="array" ref="F215">IF($D215=10,INDEX(targets!$F$2:$F$13,MONTH($A215)),0)</f>
        <v>0</v>
      </c>
    </row>
    <row r="216" spans="1:6" x14ac:dyDescent="0.3">
      <c r="A216" s="1">
        <v>46237</v>
      </c>
      <c r="B216" t="s">
        <v>4</v>
      </c>
      <c r="C216">
        <v>0</v>
      </c>
      <c r="D216">
        <v>0</v>
      </c>
      <c r="E216" s="7" cm="1">
        <f t="array" ref="E216">IF($B216="Weekday",INDEX(targets!$G$2:$G$13,MONTH($A216)),0)</f>
        <v>0</v>
      </c>
      <c r="F216" s="7" cm="1">
        <f t="array" ref="F216">IF($D216=10,INDEX(targets!$F$2:$F$13,MONTH($A216)),0)</f>
        <v>0</v>
      </c>
    </row>
    <row r="217" spans="1:6" x14ac:dyDescent="0.3">
      <c r="A217" s="1">
        <v>46238</v>
      </c>
      <c r="B217" t="s">
        <v>5</v>
      </c>
      <c r="C217">
        <v>8</v>
      </c>
      <c r="D217">
        <v>10</v>
      </c>
      <c r="E217" s="7" cm="1">
        <f t="array" ref="E217">IF($B217="Weekday",INDEX(targets!$G$2:$G$13,MONTH($A217)),0)</f>
        <v>156.85</v>
      </c>
      <c r="F217" s="7" cm="1">
        <f t="array" ref="F217">IF($D217=10,INDEX(targets!$F$2:$F$13,MONTH($A217)),0)</f>
        <v>60.833333333333336</v>
      </c>
    </row>
    <row r="218" spans="1:6" x14ac:dyDescent="0.3">
      <c r="A218" s="1">
        <v>46239</v>
      </c>
      <c r="B218" t="s">
        <v>5</v>
      </c>
      <c r="C218">
        <v>8</v>
      </c>
      <c r="D218">
        <v>10</v>
      </c>
      <c r="E218" s="7" cm="1">
        <f t="array" ref="E218">IF($B218="Weekday",INDEX(targets!$G$2:$G$13,MONTH($A218)),0)</f>
        <v>156.85</v>
      </c>
      <c r="F218" s="7" cm="1">
        <f t="array" ref="F218">IF($D218=10,INDEX(targets!$F$2:$F$13,MONTH($A218)),0)</f>
        <v>60.833333333333336</v>
      </c>
    </row>
    <row r="219" spans="1:6" x14ac:dyDescent="0.3">
      <c r="A219" s="1">
        <v>46240</v>
      </c>
      <c r="B219" t="s">
        <v>5</v>
      </c>
      <c r="C219">
        <v>8</v>
      </c>
      <c r="D219">
        <v>10</v>
      </c>
      <c r="E219" s="7" cm="1">
        <f t="array" ref="E219">IF($B219="Weekday",INDEX(targets!$G$2:$G$13,MONTH($A219)),0)</f>
        <v>156.85</v>
      </c>
      <c r="F219" s="7" cm="1">
        <f t="array" ref="F219">IF($D219=10,INDEX(targets!$F$2:$F$13,MONTH($A219)),0)</f>
        <v>60.833333333333336</v>
      </c>
    </row>
    <row r="220" spans="1:6" x14ac:dyDescent="0.3">
      <c r="A220" s="1">
        <v>46241</v>
      </c>
      <c r="B220" t="s">
        <v>5</v>
      </c>
      <c r="C220">
        <v>8</v>
      </c>
      <c r="D220">
        <v>10</v>
      </c>
      <c r="E220" s="7" cm="1">
        <f t="array" ref="E220">IF($B220="Weekday",INDEX(targets!$G$2:$G$13,MONTH($A220)),0)</f>
        <v>156.85</v>
      </c>
      <c r="F220" s="7" cm="1">
        <f t="array" ref="F220">IF($D220=10,INDEX(targets!$F$2:$F$13,MONTH($A220)),0)</f>
        <v>60.833333333333336</v>
      </c>
    </row>
    <row r="221" spans="1:6" x14ac:dyDescent="0.3">
      <c r="A221" s="1">
        <v>46242</v>
      </c>
      <c r="B221" t="s">
        <v>6</v>
      </c>
      <c r="C221">
        <v>0</v>
      </c>
      <c r="D221">
        <v>0</v>
      </c>
      <c r="E221" s="7" cm="1">
        <f t="array" ref="E221">IF($B221="Weekday",INDEX(targets!$G$2:$G$13,MONTH($A221)),0)</f>
        <v>0</v>
      </c>
      <c r="F221" s="7" cm="1">
        <f t="array" ref="F221">IF($D221=10,INDEX(targets!$F$2:$F$13,MONTH($A221)),0)</f>
        <v>0</v>
      </c>
    </row>
    <row r="222" spans="1:6" x14ac:dyDescent="0.3">
      <c r="A222" s="1">
        <v>46243</v>
      </c>
      <c r="B222" t="s">
        <v>6</v>
      </c>
      <c r="C222">
        <v>0</v>
      </c>
      <c r="D222">
        <v>0</v>
      </c>
      <c r="E222" s="7" cm="1">
        <f t="array" ref="E222">IF($B222="Weekday",INDEX(targets!$G$2:$G$13,MONTH($A222)),0)</f>
        <v>0</v>
      </c>
      <c r="F222" s="7" cm="1">
        <f t="array" ref="F222">IF($D222=10,INDEX(targets!$F$2:$F$13,MONTH($A222)),0)</f>
        <v>0</v>
      </c>
    </row>
    <row r="223" spans="1:6" x14ac:dyDescent="0.3">
      <c r="A223" s="1">
        <v>46244</v>
      </c>
      <c r="B223" t="s">
        <v>5</v>
      </c>
      <c r="C223">
        <v>8</v>
      </c>
      <c r="D223">
        <v>10</v>
      </c>
      <c r="E223" s="7" cm="1">
        <f t="array" ref="E223">IF($B223="Weekday",INDEX(targets!$G$2:$G$13,MONTH($A223)),0)</f>
        <v>156.85</v>
      </c>
      <c r="F223" s="7" cm="1">
        <f t="array" ref="F223">IF($D223=10,INDEX(targets!$F$2:$F$13,MONTH($A223)),0)</f>
        <v>60.833333333333336</v>
      </c>
    </row>
    <row r="224" spans="1:6" x14ac:dyDescent="0.3">
      <c r="A224" s="1">
        <v>46245</v>
      </c>
      <c r="B224" t="s">
        <v>5</v>
      </c>
      <c r="C224">
        <v>8</v>
      </c>
      <c r="D224">
        <v>10</v>
      </c>
      <c r="E224" s="7" cm="1">
        <f t="array" ref="E224">IF($B224="Weekday",INDEX(targets!$G$2:$G$13,MONTH($A224)),0)</f>
        <v>156.85</v>
      </c>
      <c r="F224" s="7" cm="1">
        <f t="array" ref="F224">IF($D224=10,INDEX(targets!$F$2:$F$13,MONTH($A224)),0)</f>
        <v>60.833333333333336</v>
      </c>
    </row>
    <row r="225" spans="1:6" x14ac:dyDescent="0.3">
      <c r="A225" s="1">
        <v>46246</v>
      </c>
      <c r="B225" t="s">
        <v>5</v>
      </c>
      <c r="C225">
        <v>8</v>
      </c>
      <c r="D225">
        <v>10</v>
      </c>
      <c r="E225" s="7" cm="1">
        <f t="array" ref="E225">IF($B225="Weekday",INDEX(targets!$G$2:$G$13,MONTH($A225)),0)</f>
        <v>156.85</v>
      </c>
      <c r="F225" s="7" cm="1">
        <f t="array" ref="F225">IF($D225=10,INDEX(targets!$F$2:$F$13,MONTH($A225)),0)</f>
        <v>60.833333333333336</v>
      </c>
    </row>
    <row r="226" spans="1:6" x14ac:dyDescent="0.3">
      <c r="A226" s="1">
        <v>46247</v>
      </c>
      <c r="B226" t="s">
        <v>5</v>
      </c>
      <c r="C226">
        <v>8</v>
      </c>
      <c r="D226">
        <v>10</v>
      </c>
      <c r="E226" s="7" cm="1">
        <f t="array" ref="E226">IF($B226="Weekday",INDEX(targets!$G$2:$G$13,MONTH($A226)),0)</f>
        <v>156.85</v>
      </c>
      <c r="F226" s="7" cm="1">
        <f t="array" ref="F226">IF($D226=10,INDEX(targets!$F$2:$F$13,MONTH($A226)),0)</f>
        <v>60.833333333333336</v>
      </c>
    </row>
    <row r="227" spans="1:6" x14ac:dyDescent="0.3">
      <c r="A227" s="1">
        <v>46248</v>
      </c>
      <c r="B227" t="s">
        <v>5</v>
      </c>
      <c r="C227">
        <v>8</v>
      </c>
      <c r="D227">
        <v>10</v>
      </c>
      <c r="E227" s="7" cm="1">
        <f t="array" ref="E227">IF($B227="Weekday",INDEX(targets!$G$2:$G$13,MONTH($A227)),0)</f>
        <v>156.85</v>
      </c>
      <c r="F227" s="7" cm="1">
        <f t="array" ref="F227">IF($D227=10,INDEX(targets!$F$2:$F$13,MONTH($A227)),0)</f>
        <v>60.833333333333336</v>
      </c>
    </row>
    <row r="228" spans="1:6" x14ac:dyDescent="0.3">
      <c r="A228" s="1">
        <v>46249</v>
      </c>
      <c r="B228" t="s">
        <v>6</v>
      </c>
      <c r="C228">
        <v>0</v>
      </c>
      <c r="D228">
        <v>0</v>
      </c>
      <c r="E228" s="7" cm="1">
        <f t="array" ref="E228">IF($B228="Weekday",INDEX(targets!$G$2:$G$13,MONTH($A228)),0)</f>
        <v>0</v>
      </c>
      <c r="F228" s="7" cm="1">
        <f t="array" ref="F228">IF($D228=10,INDEX(targets!$F$2:$F$13,MONTH($A228)),0)</f>
        <v>0</v>
      </c>
    </row>
    <row r="229" spans="1:6" x14ac:dyDescent="0.3">
      <c r="A229" s="1">
        <v>46250</v>
      </c>
      <c r="B229" t="s">
        <v>6</v>
      </c>
      <c r="C229">
        <v>0</v>
      </c>
      <c r="D229">
        <v>0</v>
      </c>
      <c r="E229" s="7" cm="1">
        <f t="array" ref="E229">IF($B229="Weekday",INDEX(targets!$G$2:$G$13,MONTH($A229)),0)</f>
        <v>0</v>
      </c>
      <c r="F229" s="7" cm="1">
        <f t="array" ref="F229">IF($D229=10,INDEX(targets!$F$2:$F$13,MONTH($A229)),0)</f>
        <v>0</v>
      </c>
    </row>
    <row r="230" spans="1:6" x14ac:dyDescent="0.3">
      <c r="A230" s="1">
        <v>46251</v>
      </c>
      <c r="B230" t="s">
        <v>5</v>
      </c>
      <c r="C230">
        <v>8</v>
      </c>
      <c r="D230">
        <v>10</v>
      </c>
      <c r="E230" s="7" cm="1">
        <f t="array" ref="E230">IF($B230="Weekday",INDEX(targets!$G$2:$G$13,MONTH($A230)),0)</f>
        <v>156.85</v>
      </c>
      <c r="F230" s="7" cm="1">
        <f t="array" ref="F230">IF($D230=10,INDEX(targets!$F$2:$F$13,MONTH($A230)),0)</f>
        <v>60.833333333333336</v>
      </c>
    </row>
    <row r="231" spans="1:6" x14ac:dyDescent="0.3">
      <c r="A231" s="1">
        <v>46252</v>
      </c>
      <c r="B231" t="s">
        <v>5</v>
      </c>
      <c r="C231">
        <v>8</v>
      </c>
      <c r="D231">
        <v>10</v>
      </c>
      <c r="E231" s="7" cm="1">
        <f t="array" ref="E231">IF($B231="Weekday",INDEX(targets!$G$2:$G$13,MONTH($A231)),0)</f>
        <v>156.85</v>
      </c>
      <c r="F231" s="7" cm="1">
        <f t="array" ref="F231">IF($D231=10,INDEX(targets!$F$2:$F$13,MONTH($A231)),0)</f>
        <v>60.833333333333336</v>
      </c>
    </row>
    <row r="232" spans="1:6" x14ac:dyDescent="0.3">
      <c r="A232" s="1">
        <v>46253</v>
      </c>
      <c r="B232" t="s">
        <v>5</v>
      </c>
      <c r="C232">
        <v>8</v>
      </c>
      <c r="D232">
        <v>10</v>
      </c>
      <c r="E232" s="7" cm="1">
        <f t="array" ref="E232">IF($B232="Weekday",INDEX(targets!$G$2:$G$13,MONTH($A232)),0)</f>
        <v>156.85</v>
      </c>
      <c r="F232" s="7" cm="1">
        <f t="array" ref="F232">IF($D232=10,INDEX(targets!$F$2:$F$13,MONTH($A232)),0)</f>
        <v>60.833333333333336</v>
      </c>
    </row>
    <row r="233" spans="1:6" x14ac:dyDescent="0.3">
      <c r="A233" s="1">
        <v>46254</v>
      </c>
      <c r="B233" t="s">
        <v>5</v>
      </c>
      <c r="C233">
        <v>8</v>
      </c>
      <c r="D233">
        <v>10</v>
      </c>
      <c r="E233" s="7" cm="1">
        <f t="array" ref="E233">IF($B233="Weekday",INDEX(targets!$G$2:$G$13,MONTH($A233)),0)</f>
        <v>156.85</v>
      </c>
      <c r="F233" s="7" cm="1">
        <f t="array" ref="F233">IF($D233=10,INDEX(targets!$F$2:$F$13,MONTH($A233)),0)</f>
        <v>60.833333333333336</v>
      </c>
    </row>
    <row r="234" spans="1:6" x14ac:dyDescent="0.3">
      <c r="A234" s="1">
        <v>46255</v>
      </c>
      <c r="B234" t="s">
        <v>5</v>
      </c>
      <c r="C234">
        <v>8</v>
      </c>
      <c r="D234">
        <v>0</v>
      </c>
      <c r="E234" s="7" cm="1">
        <f t="array" ref="E234">IF($B234="Weekday",INDEX(targets!$G$2:$G$13,MONTH($A234)),0)</f>
        <v>156.85</v>
      </c>
      <c r="F234" s="7" cm="1">
        <f t="array" ref="F234">IF($D234=10,INDEX(targets!$F$2:$F$13,MONTH($A234)),0)</f>
        <v>0</v>
      </c>
    </row>
    <row r="235" spans="1:6" x14ac:dyDescent="0.3">
      <c r="A235" s="1">
        <v>46256</v>
      </c>
      <c r="B235" t="s">
        <v>6</v>
      </c>
      <c r="C235">
        <v>0</v>
      </c>
      <c r="D235">
        <v>0</v>
      </c>
      <c r="E235" s="7" cm="1">
        <f t="array" ref="E235">IF($B235="Weekday",INDEX(targets!$G$2:$G$13,MONTH($A235)),0)</f>
        <v>0</v>
      </c>
      <c r="F235" s="7" cm="1">
        <f t="array" ref="F235">IF($D235=10,INDEX(targets!$F$2:$F$13,MONTH($A235)),0)</f>
        <v>0</v>
      </c>
    </row>
    <row r="236" spans="1:6" x14ac:dyDescent="0.3">
      <c r="A236" s="1">
        <v>46257</v>
      </c>
      <c r="B236" t="s">
        <v>6</v>
      </c>
      <c r="C236">
        <v>0</v>
      </c>
      <c r="D236">
        <v>0</v>
      </c>
      <c r="E236" s="7" cm="1">
        <f t="array" ref="E236">IF($B236="Weekday",INDEX(targets!$G$2:$G$13,MONTH($A236)),0)</f>
        <v>0</v>
      </c>
      <c r="F236" s="7" cm="1">
        <f t="array" ref="F236">IF($D236=10,INDEX(targets!$F$2:$F$13,MONTH($A236)),0)</f>
        <v>0</v>
      </c>
    </row>
    <row r="237" spans="1:6" x14ac:dyDescent="0.3">
      <c r="A237" s="1">
        <v>46258</v>
      </c>
      <c r="B237" t="s">
        <v>5</v>
      </c>
      <c r="C237">
        <v>8</v>
      </c>
      <c r="D237">
        <v>10</v>
      </c>
      <c r="E237" s="7" cm="1">
        <f t="array" ref="E237">IF($B237="Weekday",INDEX(targets!$G$2:$G$13,MONTH($A237)),0)</f>
        <v>156.85</v>
      </c>
      <c r="F237" s="7" cm="1">
        <f t="array" ref="F237">IF($D237=10,INDEX(targets!$F$2:$F$13,MONTH($A237)),0)</f>
        <v>60.833333333333336</v>
      </c>
    </row>
    <row r="238" spans="1:6" x14ac:dyDescent="0.3">
      <c r="A238" s="1">
        <v>46259</v>
      </c>
      <c r="B238" t="s">
        <v>5</v>
      </c>
      <c r="C238">
        <v>8</v>
      </c>
      <c r="D238">
        <v>10</v>
      </c>
      <c r="E238" s="7" cm="1">
        <f t="array" ref="E238">IF($B238="Weekday",INDEX(targets!$G$2:$G$13,MONTH($A238)),0)</f>
        <v>156.85</v>
      </c>
      <c r="F238" s="7" cm="1">
        <f t="array" ref="F238">IF($D238=10,INDEX(targets!$F$2:$F$13,MONTH($A238)),0)</f>
        <v>60.833333333333336</v>
      </c>
    </row>
    <row r="239" spans="1:6" x14ac:dyDescent="0.3">
      <c r="A239" s="1">
        <v>46260</v>
      </c>
      <c r="B239" t="s">
        <v>5</v>
      </c>
      <c r="C239">
        <v>8</v>
      </c>
      <c r="D239">
        <v>10</v>
      </c>
      <c r="E239" s="7" cm="1">
        <f t="array" ref="E239">IF($B239="Weekday",INDEX(targets!$G$2:$G$13,MONTH($A239)),0)</f>
        <v>156.85</v>
      </c>
      <c r="F239" s="7" cm="1">
        <f t="array" ref="F239">IF($D239=10,INDEX(targets!$F$2:$F$13,MONTH($A239)),0)</f>
        <v>60.833333333333336</v>
      </c>
    </row>
    <row r="240" spans="1:6" x14ac:dyDescent="0.3">
      <c r="A240" s="1">
        <v>46261</v>
      </c>
      <c r="B240" t="s">
        <v>5</v>
      </c>
      <c r="C240">
        <v>8</v>
      </c>
      <c r="D240">
        <v>10</v>
      </c>
      <c r="E240" s="7" cm="1">
        <f t="array" ref="E240">IF($B240="Weekday",INDEX(targets!$G$2:$G$13,MONTH($A240)),0)</f>
        <v>156.85</v>
      </c>
      <c r="F240" s="7" cm="1">
        <f t="array" ref="F240">IF($D240=10,INDEX(targets!$F$2:$F$13,MONTH($A240)),0)</f>
        <v>60.833333333333336</v>
      </c>
    </row>
    <row r="241" spans="1:6" x14ac:dyDescent="0.3">
      <c r="A241" s="1">
        <v>46262</v>
      </c>
      <c r="B241" t="s">
        <v>5</v>
      </c>
      <c r="C241">
        <v>8</v>
      </c>
      <c r="D241">
        <v>0</v>
      </c>
      <c r="E241" s="7" cm="1">
        <f t="array" ref="E241">IF($B241="Weekday",INDEX(targets!$G$2:$G$13,MONTH($A241)),0)</f>
        <v>156.85</v>
      </c>
      <c r="F241" s="7" cm="1">
        <f t="array" ref="F241">IF($D241=10,INDEX(targets!$F$2:$F$13,MONTH($A241)),0)</f>
        <v>0</v>
      </c>
    </row>
    <row r="242" spans="1:6" x14ac:dyDescent="0.3">
      <c r="A242" s="1">
        <v>46263</v>
      </c>
      <c r="B242" t="s">
        <v>6</v>
      </c>
      <c r="C242">
        <v>0</v>
      </c>
      <c r="D242">
        <v>0</v>
      </c>
      <c r="E242" s="7" cm="1">
        <f t="array" ref="E242">IF($B242="Weekday",INDEX(targets!$G$2:$G$13,MONTH($A242)),0)</f>
        <v>0</v>
      </c>
      <c r="F242" s="7" cm="1">
        <f t="array" ref="F242">IF($D242=10,INDEX(targets!$F$2:$F$13,MONTH($A242)),0)</f>
        <v>0</v>
      </c>
    </row>
    <row r="243" spans="1:6" x14ac:dyDescent="0.3">
      <c r="A243" s="1">
        <v>46264</v>
      </c>
      <c r="B243" t="s">
        <v>6</v>
      </c>
      <c r="C243">
        <v>0</v>
      </c>
      <c r="D243">
        <v>0</v>
      </c>
      <c r="E243" s="7" cm="1">
        <f t="array" ref="E243">IF($B243="Weekday",INDEX(targets!$G$2:$G$13,MONTH($A243)),0)</f>
        <v>0</v>
      </c>
      <c r="F243" s="7" cm="1">
        <f t="array" ref="F243">IF($D243=10,INDEX(targets!$F$2:$F$13,MONTH($A243)),0)</f>
        <v>0</v>
      </c>
    </row>
    <row r="244" spans="1:6" x14ac:dyDescent="0.3">
      <c r="A244" s="1">
        <v>46265</v>
      </c>
      <c r="B244" t="s">
        <v>5</v>
      </c>
      <c r="C244">
        <v>8</v>
      </c>
      <c r="D244">
        <v>10</v>
      </c>
      <c r="E244" s="7" cm="1">
        <f t="array" ref="E244">IF($B244="Weekday",INDEX(targets!$G$2:$G$13,MONTH($A244)),0)</f>
        <v>156.85</v>
      </c>
      <c r="F244" s="7" cm="1">
        <f t="array" ref="F244">IF($D244=10,INDEX(targets!$F$2:$F$13,MONTH($A244)),0)</f>
        <v>60.833333333333336</v>
      </c>
    </row>
    <row r="245" spans="1:6" x14ac:dyDescent="0.3">
      <c r="A245" s="1">
        <v>46266</v>
      </c>
      <c r="B245" t="s">
        <v>5</v>
      </c>
      <c r="C245">
        <v>8</v>
      </c>
      <c r="D245">
        <v>10</v>
      </c>
      <c r="E245" s="7" cm="1">
        <f t="array" ref="E245">IF($B245="Weekday",INDEX(targets!$G$2:$G$13,MONTH($A245)),0)</f>
        <v>164.7</v>
      </c>
      <c r="F245" s="7" cm="1">
        <f t="array" ref="F245">IF($D245=10,INDEX(targets!$F$2:$F$13,MONTH($A245)),0)</f>
        <v>55.333333333333336</v>
      </c>
    </row>
    <row r="246" spans="1:6" x14ac:dyDescent="0.3">
      <c r="A246" s="1">
        <v>46267</v>
      </c>
      <c r="B246" t="s">
        <v>5</v>
      </c>
      <c r="C246">
        <v>8</v>
      </c>
      <c r="D246">
        <v>10</v>
      </c>
      <c r="E246" s="7" cm="1">
        <f t="array" ref="E246">IF($B246="Weekday",INDEX(targets!$G$2:$G$13,MONTH($A246)),0)</f>
        <v>164.7</v>
      </c>
      <c r="F246" s="7" cm="1">
        <f t="array" ref="F246">IF($D246=10,INDEX(targets!$F$2:$F$13,MONTH($A246)),0)</f>
        <v>55.333333333333336</v>
      </c>
    </row>
    <row r="247" spans="1:6" x14ac:dyDescent="0.3">
      <c r="A247" s="1">
        <v>46268</v>
      </c>
      <c r="B247" t="s">
        <v>5</v>
      </c>
      <c r="C247">
        <v>8</v>
      </c>
      <c r="D247">
        <v>10</v>
      </c>
      <c r="E247" s="7" cm="1">
        <f t="array" ref="E247">IF($B247="Weekday",INDEX(targets!$G$2:$G$13,MONTH($A247)),0)</f>
        <v>164.7</v>
      </c>
      <c r="F247" s="7" cm="1">
        <f t="array" ref="F247">IF($D247=10,INDEX(targets!$F$2:$F$13,MONTH($A247)),0)</f>
        <v>55.333333333333336</v>
      </c>
    </row>
    <row r="248" spans="1:6" x14ac:dyDescent="0.3">
      <c r="A248" s="1">
        <v>46269</v>
      </c>
      <c r="B248" t="s">
        <v>5</v>
      </c>
      <c r="C248">
        <v>8</v>
      </c>
      <c r="D248">
        <v>10</v>
      </c>
      <c r="E248" s="7" cm="1">
        <f t="array" ref="E248">IF($B248="Weekday",INDEX(targets!$G$2:$G$13,MONTH($A248)),0)</f>
        <v>164.7</v>
      </c>
      <c r="F248" s="7" cm="1">
        <f t="array" ref="F248">IF($D248=10,INDEX(targets!$F$2:$F$13,MONTH($A248)),0)</f>
        <v>55.333333333333336</v>
      </c>
    </row>
    <row r="249" spans="1:6" x14ac:dyDescent="0.3">
      <c r="A249" s="1">
        <v>46270</v>
      </c>
      <c r="B249" t="s">
        <v>6</v>
      </c>
      <c r="C249">
        <v>0</v>
      </c>
      <c r="D249">
        <v>0</v>
      </c>
      <c r="E249" s="7" cm="1">
        <f t="array" ref="E249">IF($B249="Weekday",INDEX(targets!$G$2:$G$13,MONTH($A249)),0)</f>
        <v>0</v>
      </c>
      <c r="F249" s="7" cm="1">
        <f t="array" ref="F249">IF($D249=10,INDEX(targets!$F$2:$F$13,MONTH($A249)),0)</f>
        <v>0</v>
      </c>
    </row>
    <row r="250" spans="1:6" x14ac:dyDescent="0.3">
      <c r="A250" s="1">
        <v>46271</v>
      </c>
      <c r="B250" t="s">
        <v>6</v>
      </c>
      <c r="C250">
        <v>0</v>
      </c>
      <c r="D250">
        <v>0</v>
      </c>
      <c r="E250" s="7" cm="1">
        <f t="array" ref="E250">IF($B250="Weekday",INDEX(targets!$G$2:$G$13,MONTH($A250)),0)</f>
        <v>0</v>
      </c>
      <c r="F250" s="7" cm="1">
        <f t="array" ref="F250">IF($D250=10,INDEX(targets!$F$2:$F$13,MONTH($A250)),0)</f>
        <v>0</v>
      </c>
    </row>
    <row r="251" spans="1:6" x14ac:dyDescent="0.3">
      <c r="A251" s="1">
        <v>46272</v>
      </c>
      <c r="B251" t="s">
        <v>4</v>
      </c>
      <c r="C251">
        <v>0</v>
      </c>
      <c r="D251">
        <v>0</v>
      </c>
      <c r="E251" s="7" cm="1">
        <f t="array" ref="E251">IF($B251="Weekday",INDEX(targets!$G$2:$G$13,MONTH($A251)),0)</f>
        <v>0</v>
      </c>
      <c r="F251" s="7" cm="1">
        <f t="array" ref="F251">IF($D251=10,INDEX(targets!$F$2:$F$13,MONTH($A251)),0)</f>
        <v>0</v>
      </c>
    </row>
    <row r="252" spans="1:6" x14ac:dyDescent="0.3">
      <c r="A252" s="1">
        <v>46273</v>
      </c>
      <c r="B252" t="s">
        <v>5</v>
      </c>
      <c r="C252">
        <v>8</v>
      </c>
      <c r="D252">
        <v>10</v>
      </c>
      <c r="E252" s="7" cm="1">
        <f t="array" ref="E252">IF($B252="Weekday",INDEX(targets!$G$2:$G$13,MONTH($A252)),0)</f>
        <v>164.7</v>
      </c>
      <c r="F252" s="7" cm="1">
        <f t="array" ref="F252">IF($D252=10,INDEX(targets!$F$2:$F$13,MONTH($A252)),0)</f>
        <v>55.333333333333336</v>
      </c>
    </row>
    <row r="253" spans="1:6" x14ac:dyDescent="0.3">
      <c r="A253" s="1">
        <v>46274</v>
      </c>
      <c r="B253" t="s">
        <v>5</v>
      </c>
      <c r="C253">
        <v>8</v>
      </c>
      <c r="D253">
        <v>10</v>
      </c>
      <c r="E253" s="7" cm="1">
        <f t="array" ref="E253">IF($B253="Weekday",INDEX(targets!$G$2:$G$13,MONTH($A253)),0)</f>
        <v>164.7</v>
      </c>
      <c r="F253" s="7" cm="1">
        <f t="array" ref="F253">IF($D253=10,INDEX(targets!$F$2:$F$13,MONTH($A253)),0)</f>
        <v>55.333333333333336</v>
      </c>
    </row>
    <row r="254" spans="1:6" x14ac:dyDescent="0.3">
      <c r="A254" s="1">
        <v>46275</v>
      </c>
      <c r="B254" t="s">
        <v>5</v>
      </c>
      <c r="C254">
        <v>8</v>
      </c>
      <c r="D254">
        <v>10</v>
      </c>
      <c r="E254" s="7" cm="1">
        <f t="array" ref="E254">IF($B254="Weekday",INDEX(targets!$G$2:$G$13,MONTH($A254)),0)</f>
        <v>164.7</v>
      </c>
      <c r="F254" s="7" cm="1">
        <f t="array" ref="F254">IF($D254=10,INDEX(targets!$F$2:$F$13,MONTH($A254)),0)</f>
        <v>55.333333333333336</v>
      </c>
    </row>
    <row r="255" spans="1:6" x14ac:dyDescent="0.3">
      <c r="A255" s="1">
        <v>46276</v>
      </c>
      <c r="B255" t="s">
        <v>5</v>
      </c>
      <c r="C255">
        <v>8</v>
      </c>
      <c r="D255">
        <v>10</v>
      </c>
      <c r="E255" s="7" cm="1">
        <f t="array" ref="E255">IF($B255="Weekday",INDEX(targets!$G$2:$G$13,MONTH($A255)),0)</f>
        <v>164.7</v>
      </c>
      <c r="F255" s="7" cm="1">
        <f t="array" ref="F255">IF($D255=10,INDEX(targets!$F$2:$F$13,MONTH($A255)),0)</f>
        <v>55.333333333333336</v>
      </c>
    </row>
    <row r="256" spans="1:6" x14ac:dyDescent="0.3">
      <c r="A256" s="1">
        <v>46277</v>
      </c>
      <c r="B256" t="s">
        <v>6</v>
      </c>
      <c r="C256">
        <v>0</v>
      </c>
      <c r="D256">
        <v>0</v>
      </c>
      <c r="E256" s="7" cm="1">
        <f t="array" ref="E256">IF($B256="Weekday",INDEX(targets!$G$2:$G$13,MONTH($A256)),0)</f>
        <v>0</v>
      </c>
      <c r="F256" s="7" cm="1">
        <f t="array" ref="F256">IF($D256=10,INDEX(targets!$F$2:$F$13,MONTH($A256)),0)</f>
        <v>0</v>
      </c>
    </row>
    <row r="257" spans="1:6" x14ac:dyDescent="0.3">
      <c r="A257" s="1">
        <v>46278</v>
      </c>
      <c r="B257" t="s">
        <v>6</v>
      </c>
      <c r="C257">
        <v>0</v>
      </c>
      <c r="D257">
        <v>0</v>
      </c>
      <c r="E257" s="7" cm="1">
        <f t="array" ref="E257">IF($B257="Weekday",INDEX(targets!$G$2:$G$13,MONTH($A257)),0)</f>
        <v>0</v>
      </c>
      <c r="F257" s="7" cm="1">
        <f t="array" ref="F257">IF($D257=10,INDEX(targets!$F$2:$F$13,MONTH($A257)),0)</f>
        <v>0</v>
      </c>
    </row>
    <row r="258" spans="1:6" x14ac:dyDescent="0.3">
      <c r="A258" s="1">
        <v>46279</v>
      </c>
      <c r="B258" t="s">
        <v>5</v>
      </c>
      <c r="C258">
        <v>8</v>
      </c>
      <c r="D258">
        <v>10</v>
      </c>
      <c r="E258" s="7" cm="1">
        <f t="array" ref="E258">IF($B258="Weekday",INDEX(targets!$G$2:$G$13,MONTH($A258)),0)</f>
        <v>164.7</v>
      </c>
      <c r="F258" s="7" cm="1">
        <f t="array" ref="F258">IF($D258=10,INDEX(targets!$F$2:$F$13,MONTH($A258)),0)</f>
        <v>55.333333333333336</v>
      </c>
    </row>
    <row r="259" spans="1:6" x14ac:dyDescent="0.3">
      <c r="A259" s="1">
        <v>46280</v>
      </c>
      <c r="B259" t="s">
        <v>5</v>
      </c>
      <c r="C259">
        <v>8</v>
      </c>
      <c r="D259">
        <v>10</v>
      </c>
      <c r="E259" s="7" cm="1">
        <f t="array" ref="E259">IF($B259="Weekday",INDEX(targets!$G$2:$G$13,MONTH($A259)),0)</f>
        <v>164.7</v>
      </c>
      <c r="F259" s="7" cm="1">
        <f t="array" ref="F259">IF($D259=10,INDEX(targets!$F$2:$F$13,MONTH($A259)),0)</f>
        <v>55.333333333333336</v>
      </c>
    </row>
    <row r="260" spans="1:6" x14ac:dyDescent="0.3">
      <c r="A260" s="1">
        <v>46281</v>
      </c>
      <c r="B260" t="s">
        <v>5</v>
      </c>
      <c r="C260">
        <v>8</v>
      </c>
      <c r="D260">
        <v>10</v>
      </c>
      <c r="E260" s="7" cm="1">
        <f t="array" ref="E260">IF($B260="Weekday",INDEX(targets!$G$2:$G$13,MONTH($A260)),0)</f>
        <v>164.7</v>
      </c>
      <c r="F260" s="7" cm="1">
        <f t="array" ref="F260">IF($D260=10,INDEX(targets!$F$2:$F$13,MONTH($A260)),0)</f>
        <v>55.333333333333336</v>
      </c>
    </row>
    <row r="261" spans="1:6" x14ac:dyDescent="0.3">
      <c r="A261" s="1">
        <v>46282</v>
      </c>
      <c r="B261" t="s">
        <v>5</v>
      </c>
      <c r="C261">
        <v>8</v>
      </c>
      <c r="D261">
        <v>10</v>
      </c>
      <c r="E261" s="7" cm="1">
        <f t="array" ref="E261">IF($B261="Weekday",INDEX(targets!$G$2:$G$13,MONTH($A261)),0)</f>
        <v>164.7</v>
      </c>
      <c r="F261" s="7" cm="1">
        <f t="array" ref="F261">IF($D261=10,INDEX(targets!$F$2:$F$13,MONTH($A261)),0)</f>
        <v>55.333333333333336</v>
      </c>
    </row>
    <row r="262" spans="1:6" x14ac:dyDescent="0.3">
      <c r="A262" s="1">
        <v>46283</v>
      </c>
      <c r="B262" t="s">
        <v>5</v>
      </c>
      <c r="C262">
        <v>8</v>
      </c>
      <c r="D262">
        <v>0</v>
      </c>
      <c r="E262" s="7" cm="1">
        <f t="array" ref="E262">IF($B262="Weekday",INDEX(targets!$G$2:$G$13,MONTH($A262)),0)</f>
        <v>164.7</v>
      </c>
      <c r="F262" s="7" cm="1">
        <f t="array" ref="F262">IF($D262=10,INDEX(targets!$F$2:$F$13,MONTH($A262)),0)</f>
        <v>0</v>
      </c>
    </row>
    <row r="263" spans="1:6" x14ac:dyDescent="0.3">
      <c r="A263" s="1">
        <v>46284</v>
      </c>
      <c r="B263" t="s">
        <v>6</v>
      </c>
      <c r="C263">
        <v>0</v>
      </c>
      <c r="D263">
        <v>0</v>
      </c>
      <c r="E263" s="7" cm="1">
        <f t="array" ref="E263">IF($B263="Weekday",INDEX(targets!$G$2:$G$13,MONTH($A263)),0)</f>
        <v>0</v>
      </c>
      <c r="F263" s="7" cm="1">
        <f t="array" ref="F263">IF($D263=10,INDEX(targets!$F$2:$F$13,MONTH($A263)),0)</f>
        <v>0</v>
      </c>
    </row>
    <row r="264" spans="1:6" x14ac:dyDescent="0.3">
      <c r="A264" s="1">
        <v>46285</v>
      </c>
      <c r="B264" t="s">
        <v>6</v>
      </c>
      <c r="C264">
        <v>0</v>
      </c>
      <c r="D264">
        <v>0</v>
      </c>
      <c r="E264" s="7" cm="1">
        <f t="array" ref="E264">IF($B264="Weekday",INDEX(targets!$G$2:$G$13,MONTH($A264)),0)</f>
        <v>0</v>
      </c>
      <c r="F264" s="7" cm="1">
        <f t="array" ref="F264">IF($D264=10,INDEX(targets!$F$2:$F$13,MONTH($A264)),0)</f>
        <v>0</v>
      </c>
    </row>
    <row r="265" spans="1:6" x14ac:dyDescent="0.3">
      <c r="A265" s="1">
        <v>46286</v>
      </c>
      <c r="B265" t="s">
        <v>5</v>
      </c>
      <c r="C265">
        <v>8</v>
      </c>
      <c r="D265">
        <v>10</v>
      </c>
      <c r="E265" s="7" cm="1">
        <f t="array" ref="E265">IF($B265="Weekday",INDEX(targets!$G$2:$G$13,MONTH($A265)),0)</f>
        <v>164.7</v>
      </c>
      <c r="F265" s="7" cm="1">
        <f t="array" ref="F265">IF($D265=10,INDEX(targets!$F$2:$F$13,MONTH($A265)),0)</f>
        <v>55.333333333333336</v>
      </c>
    </row>
    <row r="266" spans="1:6" x14ac:dyDescent="0.3">
      <c r="A266" s="1">
        <v>46287</v>
      </c>
      <c r="B266" t="s">
        <v>5</v>
      </c>
      <c r="C266">
        <v>8</v>
      </c>
      <c r="D266">
        <v>10</v>
      </c>
      <c r="E266" s="7" cm="1">
        <f t="array" ref="E266">IF($B266="Weekday",INDEX(targets!$G$2:$G$13,MONTH($A266)),0)</f>
        <v>164.7</v>
      </c>
      <c r="F266" s="7" cm="1">
        <f t="array" ref="F266">IF($D266=10,INDEX(targets!$F$2:$F$13,MONTH($A266)),0)</f>
        <v>55.333333333333336</v>
      </c>
    </row>
    <row r="267" spans="1:6" x14ac:dyDescent="0.3">
      <c r="A267" s="1">
        <v>46288</v>
      </c>
      <c r="B267" t="s">
        <v>5</v>
      </c>
      <c r="C267">
        <v>8</v>
      </c>
      <c r="D267">
        <v>10</v>
      </c>
      <c r="E267" s="7" cm="1">
        <f t="array" ref="E267">IF($B267="Weekday",INDEX(targets!$G$2:$G$13,MONTH($A267)),0)</f>
        <v>164.7</v>
      </c>
      <c r="F267" s="7" cm="1">
        <f t="array" ref="F267">IF($D267=10,INDEX(targets!$F$2:$F$13,MONTH($A267)),0)</f>
        <v>55.333333333333336</v>
      </c>
    </row>
    <row r="268" spans="1:6" x14ac:dyDescent="0.3">
      <c r="A268" s="1">
        <v>46289</v>
      </c>
      <c r="B268" t="s">
        <v>5</v>
      </c>
      <c r="C268">
        <v>8</v>
      </c>
      <c r="D268">
        <v>10</v>
      </c>
      <c r="E268" s="7" cm="1">
        <f t="array" ref="E268">IF($B268="Weekday",INDEX(targets!$G$2:$G$13,MONTH($A268)),0)</f>
        <v>164.7</v>
      </c>
      <c r="F268" s="7" cm="1">
        <f t="array" ref="F268">IF($D268=10,INDEX(targets!$F$2:$F$13,MONTH($A268)),0)</f>
        <v>55.333333333333336</v>
      </c>
    </row>
    <row r="269" spans="1:6" x14ac:dyDescent="0.3">
      <c r="A269" s="1">
        <v>46290</v>
      </c>
      <c r="B269" t="s">
        <v>5</v>
      </c>
      <c r="C269">
        <v>8</v>
      </c>
      <c r="D269">
        <v>0</v>
      </c>
      <c r="E269" s="7" cm="1">
        <f t="array" ref="E269">IF($B269="Weekday",INDEX(targets!$G$2:$G$13,MONTH($A269)),0)</f>
        <v>164.7</v>
      </c>
      <c r="F269" s="7" cm="1">
        <f t="array" ref="F269">IF($D269=10,INDEX(targets!$F$2:$F$13,MONTH($A269)),0)</f>
        <v>0</v>
      </c>
    </row>
    <row r="270" spans="1:6" x14ac:dyDescent="0.3">
      <c r="A270" s="1">
        <v>46291</v>
      </c>
      <c r="B270" t="s">
        <v>6</v>
      </c>
      <c r="C270">
        <v>0</v>
      </c>
      <c r="D270">
        <v>0</v>
      </c>
      <c r="E270" s="7" cm="1">
        <f t="array" ref="E270">IF($B270="Weekday",INDEX(targets!$G$2:$G$13,MONTH($A270)),0)</f>
        <v>0</v>
      </c>
      <c r="F270" s="7" cm="1">
        <f t="array" ref="F270">IF($D270=10,INDEX(targets!$F$2:$F$13,MONTH($A270)),0)</f>
        <v>0</v>
      </c>
    </row>
    <row r="271" spans="1:6" x14ac:dyDescent="0.3">
      <c r="A271" s="1">
        <v>46292</v>
      </c>
      <c r="B271" t="s">
        <v>6</v>
      </c>
      <c r="C271">
        <v>0</v>
      </c>
      <c r="D271">
        <v>0</v>
      </c>
      <c r="E271" s="7" cm="1">
        <f t="array" ref="E271">IF($B271="Weekday",INDEX(targets!$G$2:$G$13,MONTH($A271)),0)</f>
        <v>0</v>
      </c>
      <c r="F271" s="7" cm="1">
        <f t="array" ref="F271">IF($D271=10,INDEX(targets!$F$2:$F$13,MONTH($A271)),0)</f>
        <v>0</v>
      </c>
    </row>
    <row r="272" spans="1:6" x14ac:dyDescent="0.3">
      <c r="A272" s="1">
        <v>46293</v>
      </c>
      <c r="B272" t="s">
        <v>5</v>
      </c>
      <c r="C272">
        <v>8</v>
      </c>
      <c r="D272">
        <v>10</v>
      </c>
      <c r="E272" s="7" cm="1">
        <f t="array" ref="E272">IF($B272="Weekday",INDEX(targets!$G$2:$G$13,MONTH($A272)),0)</f>
        <v>164.7</v>
      </c>
      <c r="F272" s="7" cm="1">
        <f t="array" ref="F272">IF($D272=10,INDEX(targets!$F$2:$F$13,MONTH($A272)),0)</f>
        <v>55.333333333333336</v>
      </c>
    </row>
    <row r="273" spans="1:6" x14ac:dyDescent="0.3">
      <c r="A273" s="1">
        <v>46294</v>
      </c>
      <c r="B273" t="s">
        <v>5</v>
      </c>
      <c r="C273">
        <v>8</v>
      </c>
      <c r="D273">
        <v>10</v>
      </c>
      <c r="E273" s="7" cm="1">
        <f t="array" ref="E273">IF($B273="Weekday",INDEX(targets!$G$2:$G$13,MONTH($A273)),0)</f>
        <v>164.7</v>
      </c>
      <c r="F273" s="7" cm="1">
        <f t="array" ref="F273">IF($D273=10,INDEX(targets!$F$2:$F$13,MONTH($A273)),0)</f>
        <v>55.333333333333336</v>
      </c>
    </row>
    <row r="274" spans="1:6" x14ac:dyDescent="0.3">
      <c r="A274" s="1">
        <v>46295</v>
      </c>
      <c r="B274" t="s">
        <v>4</v>
      </c>
      <c r="C274">
        <v>0</v>
      </c>
      <c r="D274">
        <v>0</v>
      </c>
      <c r="E274" s="7" cm="1">
        <f t="array" ref="E274">IF($B274="Weekday",INDEX(targets!$G$2:$G$13,MONTH($A274)),0)</f>
        <v>0</v>
      </c>
      <c r="F274" s="7" cm="1">
        <f t="array" ref="F274">IF($D274=10,INDEX(targets!$F$2:$F$13,MONTH($A274)),0)</f>
        <v>0</v>
      </c>
    </row>
    <row r="275" spans="1:6" x14ac:dyDescent="0.3">
      <c r="A275" s="1">
        <v>46296</v>
      </c>
      <c r="B275" t="s">
        <v>5</v>
      </c>
      <c r="C275">
        <v>8</v>
      </c>
      <c r="D275">
        <v>10</v>
      </c>
      <c r="E275" s="7" cm="1">
        <f t="array" ref="E275">IF($B275="Weekday",INDEX(targets!$G$2:$G$13,MONTH($A275)),0)</f>
        <v>171.23809523809524</v>
      </c>
      <c r="F275" s="7" cm="1">
        <f t="array" ref="F275">IF($D275=10,INDEX(targets!$F$2:$F$13,MONTH($A275)),0)</f>
        <v>44.222222222222221</v>
      </c>
    </row>
    <row r="276" spans="1:6" x14ac:dyDescent="0.3">
      <c r="A276" s="1">
        <v>46297</v>
      </c>
      <c r="B276" t="s">
        <v>5</v>
      </c>
      <c r="C276">
        <v>8</v>
      </c>
      <c r="D276">
        <v>10</v>
      </c>
      <c r="E276" s="7" cm="1">
        <f t="array" ref="E276">IF($B276="Weekday",INDEX(targets!$G$2:$G$13,MONTH($A276)),0)</f>
        <v>171.23809523809524</v>
      </c>
      <c r="F276" s="7" cm="1">
        <f t="array" ref="F276">IF($D276=10,INDEX(targets!$F$2:$F$13,MONTH($A276)),0)</f>
        <v>44.222222222222221</v>
      </c>
    </row>
    <row r="277" spans="1:6" x14ac:dyDescent="0.3">
      <c r="A277" s="1">
        <v>46298</v>
      </c>
      <c r="B277" t="s">
        <v>6</v>
      </c>
      <c r="C277">
        <v>0</v>
      </c>
      <c r="D277">
        <v>0</v>
      </c>
      <c r="E277" s="7" cm="1">
        <f t="array" ref="E277">IF($B277="Weekday",INDEX(targets!$G$2:$G$13,MONTH($A277)),0)</f>
        <v>0</v>
      </c>
      <c r="F277" s="7" cm="1">
        <f t="array" ref="F277">IF($D277=10,INDEX(targets!$F$2:$F$13,MONTH($A277)),0)</f>
        <v>0</v>
      </c>
    </row>
    <row r="278" spans="1:6" x14ac:dyDescent="0.3">
      <c r="A278" s="1">
        <v>46299</v>
      </c>
      <c r="B278" t="s">
        <v>6</v>
      </c>
      <c r="C278">
        <v>0</v>
      </c>
      <c r="D278">
        <v>0</v>
      </c>
      <c r="E278" s="7" cm="1">
        <f t="array" ref="E278">IF($B278="Weekday",INDEX(targets!$G$2:$G$13,MONTH($A278)),0)</f>
        <v>0</v>
      </c>
      <c r="F278" s="7" cm="1">
        <f t="array" ref="F278">IF($D278=10,INDEX(targets!$F$2:$F$13,MONTH($A278)),0)</f>
        <v>0</v>
      </c>
    </row>
    <row r="279" spans="1:6" x14ac:dyDescent="0.3">
      <c r="A279" s="1">
        <v>46300</v>
      </c>
      <c r="B279" t="s">
        <v>5</v>
      </c>
      <c r="C279">
        <v>8</v>
      </c>
      <c r="D279">
        <v>10</v>
      </c>
      <c r="E279" s="7" cm="1">
        <f t="array" ref="E279">IF($B279="Weekday",INDEX(targets!$G$2:$G$13,MONTH($A279)),0)</f>
        <v>171.23809523809524</v>
      </c>
      <c r="F279" s="7" cm="1">
        <f t="array" ref="F279">IF($D279=10,INDEX(targets!$F$2:$F$13,MONTH($A279)),0)</f>
        <v>44.222222222222221</v>
      </c>
    </row>
    <row r="280" spans="1:6" x14ac:dyDescent="0.3">
      <c r="A280" s="1">
        <v>46301</v>
      </c>
      <c r="B280" t="s">
        <v>5</v>
      </c>
      <c r="C280">
        <v>8</v>
      </c>
      <c r="D280">
        <v>10</v>
      </c>
      <c r="E280" s="7" cm="1">
        <f t="array" ref="E280">IF($B280="Weekday",INDEX(targets!$G$2:$G$13,MONTH($A280)),0)</f>
        <v>171.23809523809524</v>
      </c>
      <c r="F280" s="7" cm="1">
        <f t="array" ref="F280">IF($D280=10,INDEX(targets!$F$2:$F$13,MONTH($A280)),0)</f>
        <v>44.222222222222221</v>
      </c>
    </row>
    <row r="281" spans="1:6" x14ac:dyDescent="0.3">
      <c r="A281" s="1">
        <v>46302</v>
      </c>
      <c r="B281" t="s">
        <v>5</v>
      </c>
      <c r="C281">
        <v>8</v>
      </c>
      <c r="D281">
        <v>10</v>
      </c>
      <c r="E281" s="7" cm="1">
        <f t="array" ref="E281">IF($B281="Weekday",INDEX(targets!$G$2:$G$13,MONTH($A281)),0)</f>
        <v>171.23809523809524</v>
      </c>
      <c r="F281" s="7" cm="1">
        <f t="array" ref="F281">IF($D281=10,INDEX(targets!$F$2:$F$13,MONTH($A281)),0)</f>
        <v>44.222222222222221</v>
      </c>
    </row>
    <row r="282" spans="1:6" x14ac:dyDescent="0.3">
      <c r="A282" s="1">
        <v>46303</v>
      </c>
      <c r="B282" t="s">
        <v>5</v>
      </c>
      <c r="C282">
        <v>8</v>
      </c>
      <c r="D282">
        <v>10</v>
      </c>
      <c r="E282" s="7" cm="1">
        <f t="array" ref="E282">IF($B282="Weekday",INDEX(targets!$G$2:$G$13,MONTH($A282)),0)</f>
        <v>171.23809523809524</v>
      </c>
      <c r="F282" s="7" cm="1">
        <f t="array" ref="F282">IF($D282=10,INDEX(targets!$F$2:$F$13,MONTH($A282)),0)</f>
        <v>44.222222222222221</v>
      </c>
    </row>
    <row r="283" spans="1:6" x14ac:dyDescent="0.3">
      <c r="A283" s="1">
        <v>46304</v>
      </c>
      <c r="B283" t="s">
        <v>5</v>
      </c>
      <c r="C283">
        <v>8</v>
      </c>
      <c r="D283">
        <v>10</v>
      </c>
      <c r="E283" s="7" cm="1">
        <f t="array" ref="E283">IF($B283="Weekday",INDEX(targets!$G$2:$G$13,MONTH($A283)),0)</f>
        <v>171.23809523809524</v>
      </c>
      <c r="F283" s="7" cm="1">
        <f t="array" ref="F283">IF($D283=10,INDEX(targets!$F$2:$F$13,MONTH($A283)),0)</f>
        <v>44.222222222222221</v>
      </c>
    </row>
    <row r="284" spans="1:6" x14ac:dyDescent="0.3">
      <c r="A284" s="1">
        <v>46305</v>
      </c>
      <c r="B284" t="s">
        <v>6</v>
      </c>
      <c r="C284">
        <v>0</v>
      </c>
      <c r="D284">
        <v>0</v>
      </c>
      <c r="E284" s="7" cm="1">
        <f t="array" ref="E284">IF($B284="Weekday",INDEX(targets!$G$2:$G$13,MONTH($A284)),0)</f>
        <v>0</v>
      </c>
      <c r="F284" s="7" cm="1">
        <f t="array" ref="F284">IF($D284=10,INDEX(targets!$F$2:$F$13,MONTH($A284)),0)</f>
        <v>0</v>
      </c>
    </row>
    <row r="285" spans="1:6" x14ac:dyDescent="0.3">
      <c r="A285" s="1">
        <v>46306</v>
      </c>
      <c r="B285" t="s">
        <v>6</v>
      </c>
      <c r="C285">
        <v>0</v>
      </c>
      <c r="D285">
        <v>0</v>
      </c>
      <c r="E285" s="7" cm="1">
        <f t="array" ref="E285">IF($B285="Weekday",INDEX(targets!$G$2:$G$13,MONTH($A285)),0)</f>
        <v>0</v>
      </c>
      <c r="F285" s="7" cm="1">
        <f t="array" ref="F285">IF($D285=10,INDEX(targets!$F$2:$F$13,MONTH($A285)),0)</f>
        <v>0</v>
      </c>
    </row>
    <row r="286" spans="1:6" x14ac:dyDescent="0.3">
      <c r="A286" s="1">
        <v>46307</v>
      </c>
      <c r="B286" t="s">
        <v>4</v>
      </c>
      <c r="C286">
        <v>0</v>
      </c>
      <c r="D286">
        <v>0</v>
      </c>
      <c r="E286" s="7" cm="1">
        <f t="array" ref="E286">IF($B286="Weekday",INDEX(targets!$G$2:$G$13,MONTH($A286)),0)</f>
        <v>0</v>
      </c>
      <c r="F286" s="7" cm="1">
        <f t="array" ref="F286">IF($D286=10,INDEX(targets!$F$2:$F$13,MONTH($A286)),0)</f>
        <v>0</v>
      </c>
    </row>
    <row r="287" spans="1:6" x14ac:dyDescent="0.3">
      <c r="A287" s="1">
        <v>46308</v>
      </c>
      <c r="B287" t="s">
        <v>5</v>
      </c>
      <c r="C287">
        <v>8</v>
      </c>
      <c r="D287">
        <v>10</v>
      </c>
      <c r="E287" s="7" cm="1">
        <f t="array" ref="E287">IF($B287="Weekday",INDEX(targets!$G$2:$G$13,MONTH($A287)),0)</f>
        <v>171.23809523809524</v>
      </c>
      <c r="F287" s="7" cm="1">
        <f t="array" ref="F287">IF($D287=10,INDEX(targets!$F$2:$F$13,MONTH($A287)),0)</f>
        <v>44.222222222222221</v>
      </c>
    </row>
    <row r="288" spans="1:6" x14ac:dyDescent="0.3">
      <c r="A288" s="1">
        <v>46309</v>
      </c>
      <c r="B288" t="s">
        <v>5</v>
      </c>
      <c r="C288">
        <v>8</v>
      </c>
      <c r="D288">
        <v>10</v>
      </c>
      <c r="E288" s="7" cm="1">
        <f t="array" ref="E288">IF($B288="Weekday",INDEX(targets!$G$2:$G$13,MONTH($A288)),0)</f>
        <v>171.23809523809524</v>
      </c>
      <c r="F288" s="7" cm="1">
        <f t="array" ref="F288">IF($D288=10,INDEX(targets!$F$2:$F$13,MONTH($A288)),0)</f>
        <v>44.222222222222221</v>
      </c>
    </row>
    <row r="289" spans="1:6" x14ac:dyDescent="0.3">
      <c r="A289" s="1">
        <v>46310</v>
      </c>
      <c r="B289" t="s">
        <v>5</v>
      </c>
      <c r="C289">
        <v>8</v>
      </c>
      <c r="D289">
        <v>10</v>
      </c>
      <c r="E289" s="7" cm="1">
        <f t="array" ref="E289">IF($B289="Weekday",INDEX(targets!$G$2:$G$13,MONTH($A289)),0)</f>
        <v>171.23809523809524</v>
      </c>
      <c r="F289" s="7" cm="1">
        <f t="array" ref="F289">IF($D289=10,INDEX(targets!$F$2:$F$13,MONTH($A289)),0)</f>
        <v>44.222222222222221</v>
      </c>
    </row>
    <row r="290" spans="1:6" x14ac:dyDescent="0.3">
      <c r="A290" s="1">
        <v>46311</v>
      </c>
      <c r="B290" t="s">
        <v>5</v>
      </c>
      <c r="C290">
        <v>8</v>
      </c>
      <c r="D290">
        <v>0</v>
      </c>
      <c r="E290" s="7" cm="1">
        <f t="array" ref="E290">IF($B290="Weekday",INDEX(targets!$G$2:$G$13,MONTH($A290)),0)</f>
        <v>171.23809523809524</v>
      </c>
      <c r="F290" s="7" cm="1">
        <f t="array" ref="F290">IF($D290=10,INDEX(targets!$F$2:$F$13,MONTH($A290)),0)</f>
        <v>0</v>
      </c>
    </row>
    <row r="291" spans="1:6" x14ac:dyDescent="0.3">
      <c r="A291" s="1">
        <v>46312</v>
      </c>
      <c r="B291" t="s">
        <v>6</v>
      </c>
      <c r="C291">
        <v>0</v>
      </c>
      <c r="D291">
        <v>0</v>
      </c>
      <c r="E291" s="7" cm="1">
        <f t="array" ref="E291">IF($B291="Weekday",INDEX(targets!$G$2:$G$13,MONTH($A291)),0)</f>
        <v>0</v>
      </c>
      <c r="F291" s="7" cm="1">
        <f t="array" ref="F291">IF($D291=10,INDEX(targets!$F$2:$F$13,MONTH($A291)),0)</f>
        <v>0</v>
      </c>
    </row>
    <row r="292" spans="1:6" x14ac:dyDescent="0.3">
      <c r="A292" s="1">
        <v>46313</v>
      </c>
      <c r="B292" t="s">
        <v>6</v>
      </c>
      <c r="C292">
        <v>0</v>
      </c>
      <c r="D292">
        <v>0</v>
      </c>
      <c r="E292" s="7" cm="1">
        <f t="array" ref="E292">IF($B292="Weekday",INDEX(targets!$G$2:$G$13,MONTH($A292)),0)</f>
        <v>0</v>
      </c>
      <c r="F292" s="7" cm="1">
        <f t="array" ref="F292">IF($D292=10,INDEX(targets!$F$2:$F$13,MONTH($A292)),0)</f>
        <v>0</v>
      </c>
    </row>
    <row r="293" spans="1:6" x14ac:dyDescent="0.3">
      <c r="A293" s="1">
        <v>46314</v>
      </c>
      <c r="B293" t="s">
        <v>5</v>
      </c>
      <c r="C293">
        <v>8</v>
      </c>
      <c r="D293">
        <v>10</v>
      </c>
      <c r="E293" s="7" cm="1">
        <f t="array" ref="E293">IF($B293="Weekday",INDEX(targets!$G$2:$G$13,MONTH($A293)),0)</f>
        <v>171.23809523809524</v>
      </c>
      <c r="F293" s="7" cm="1">
        <f t="array" ref="F293">IF($D293=10,INDEX(targets!$F$2:$F$13,MONTH($A293)),0)</f>
        <v>44.222222222222221</v>
      </c>
    </row>
    <row r="294" spans="1:6" x14ac:dyDescent="0.3">
      <c r="A294" s="1">
        <v>46315</v>
      </c>
      <c r="B294" t="s">
        <v>5</v>
      </c>
      <c r="C294">
        <v>8</v>
      </c>
      <c r="D294">
        <v>10</v>
      </c>
      <c r="E294" s="7" cm="1">
        <f t="array" ref="E294">IF($B294="Weekday",INDEX(targets!$G$2:$G$13,MONTH($A294)),0)</f>
        <v>171.23809523809524</v>
      </c>
      <c r="F294" s="7" cm="1">
        <f t="array" ref="F294">IF($D294=10,INDEX(targets!$F$2:$F$13,MONTH($A294)),0)</f>
        <v>44.222222222222221</v>
      </c>
    </row>
    <row r="295" spans="1:6" x14ac:dyDescent="0.3">
      <c r="A295" s="1">
        <v>46316</v>
      </c>
      <c r="B295" t="s">
        <v>5</v>
      </c>
      <c r="C295">
        <v>8</v>
      </c>
      <c r="D295">
        <v>10</v>
      </c>
      <c r="E295" s="7" cm="1">
        <f t="array" ref="E295">IF($B295="Weekday",INDEX(targets!$G$2:$G$13,MONTH($A295)),0)</f>
        <v>171.23809523809524</v>
      </c>
      <c r="F295" s="7" cm="1">
        <f t="array" ref="F295">IF($D295=10,INDEX(targets!$F$2:$F$13,MONTH($A295)),0)</f>
        <v>44.222222222222221</v>
      </c>
    </row>
    <row r="296" spans="1:6" x14ac:dyDescent="0.3">
      <c r="A296" s="1">
        <v>46317</v>
      </c>
      <c r="B296" t="s">
        <v>5</v>
      </c>
      <c r="C296">
        <v>8</v>
      </c>
      <c r="D296">
        <v>10</v>
      </c>
      <c r="E296" s="7" cm="1">
        <f t="array" ref="E296">IF($B296="Weekday",INDEX(targets!$G$2:$G$13,MONTH($A296)),0)</f>
        <v>171.23809523809524</v>
      </c>
      <c r="F296" s="7" cm="1">
        <f t="array" ref="F296">IF($D296=10,INDEX(targets!$F$2:$F$13,MONTH($A296)),0)</f>
        <v>44.222222222222221</v>
      </c>
    </row>
    <row r="297" spans="1:6" x14ac:dyDescent="0.3">
      <c r="A297" s="1">
        <v>46318</v>
      </c>
      <c r="B297" t="s">
        <v>5</v>
      </c>
      <c r="C297">
        <v>8</v>
      </c>
      <c r="D297">
        <v>0</v>
      </c>
      <c r="E297" s="7" cm="1">
        <f t="array" ref="E297">IF($B297="Weekday",INDEX(targets!$G$2:$G$13,MONTH($A297)),0)</f>
        <v>171.23809523809524</v>
      </c>
      <c r="F297" s="7" cm="1">
        <f t="array" ref="F297">IF($D297=10,INDEX(targets!$F$2:$F$13,MONTH($A297)),0)</f>
        <v>0</v>
      </c>
    </row>
    <row r="298" spans="1:6" x14ac:dyDescent="0.3">
      <c r="A298" s="1">
        <v>46319</v>
      </c>
      <c r="B298" t="s">
        <v>6</v>
      </c>
      <c r="C298">
        <v>0</v>
      </c>
      <c r="D298">
        <v>0</v>
      </c>
      <c r="E298" s="7" cm="1">
        <f t="array" ref="E298">IF($B298="Weekday",INDEX(targets!$G$2:$G$13,MONTH($A298)),0)</f>
        <v>0</v>
      </c>
      <c r="F298" s="7" cm="1">
        <f t="array" ref="F298">IF($D298=10,INDEX(targets!$F$2:$F$13,MONTH($A298)),0)</f>
        <v>0</v>
      </c>
    </row>
    <row r="299" spans="1:6" x14ac:dyDescent="0.3">
      <c r="A299" s="1">
        <v>46320</v>
      </c>
      <c r="B299" t="s">
        <v>6</v>
      </c>
      <c r="C299">
        <v>0</v>
      </c>
      <c r="D299">
        <v>0</v>
      </c>
      <c r="E299" s="7" cm="1">
        <f t="array" ref="E299">IF($B299="Weekday",INDEX(targets!$G$2:$G$13,MONTH($A299)),0)</f>
        <v>0</v>
      </c>
      <c r="F299" s="7" cm="1">
        <f t="array" ref="F299">IF($D299=10,INDEX(targets!$F$2:$F$13,MONTH($A299)),0)</f>
        <v>0</v>
      </c>
    </row>
    <row r="300" spans="1:6" x14ac:dyDescent="0.3">
      <c r="A300" s="1">
        <v>46321</v>
      </c>
      <c r="B300" t="s">
        <v>5</v>
      </c>
      <c r="C300">
        <v>8</v>
      </c>
      <c r="D300">
        <v>10</v>
      </c>
      <c r="E300" s="7" cm="1">
        <f t="array" ref="E300">IF($B300="Weekday",INDEX(targets!$G$2:$G$13,MONTH($A300)),0)</f>
        <v>171.23809523809524</v>
      </c>
      <c r="F300" s="7" cm="1">
        <f t="array" ref="F300">IF($D300=10,INDEX(targets!$F$2:$F$13,MONTH($A300)),0)</f>
        <v>44.222222222222221</v>
      </c>
    </row>
    <row r="301" spans="1:6" x14ac:dyDescent="0.3">
      <c r="A301" s="1">
        <v>46322</v>
      </c>
      <c r="B301" t="s">
        <v>5</v>
      </c>
      <c r="C301">
        <v>8</v>
      </c>
      <c r="D301">
        <v>10</v>
      </c>
      <c r="E301" s="7" cm="1">
        <f t="array" ref="E301">IF($B301="Weekday",INDEX(targets!$G$2:$G$13,MONTH($A301)),0)</f>
        <v>171.23809523809524</v>
      </c>
      <c r="F301" s="7" cm="1">
        <f t="array" ref="F301">IF($D301=10,INDEX(targets!$F$2:$F$13,MONTH($A301)),0)</f>
        <v>44.222222222222221</v>
      </c>
    </row>
    <row r="302" spans="1:6" x14ac:dyDescent="0.3">
      <c r="A302" s="1">
        <v>46323</v>
      </c>
      <c r="B302" t="s">
        <v>5</v>
      </c>
      <c r="C302">
        <v>8</v>
      </c>
      <c r="D302">
        <v>10</v>
      </c>
      <c r="E302" s="7" cm="1">
        <f t="array" ref="E302">IF($B302="Weekday",INDEX(targets!$G$2:$G$13,MONTH($A302)),0)</f>
        <v>171.23809523809524</v>
      </c>
      <c r="F302" s="7" cm="1">
        <f t="array" ref="F302">IF($D302=10,INDEX(targets!$F$2:$F$13,MONTH($A302)),0)</f>
        <v>44.222222222222221</v>
      </c>
    </row>
    <row r="303" spans="1:6" x14ac:dyDescent="0.3">
      <c r="A303" s="1">
        <v>46324</v>
      </c>
      <c r="B303" t="s">
        <v>5</v>
      </c>
      <c r="C303">
        <v>8</v>
      </c>
      <c r="D303">
        <v>10</v>
      </c>
      <c r="E303" s="7" cm="1">
        <f t="array" ref="E303">IF($B303="Weekday",INDEX(targets!$G$2:$G$13,MONTH($A303)),0)</f>
        <v>171.23809523809524</v>
      </c>
      <c r="F303" s="7" cm="1">
        <f t="array" ref="F303">IF($D303=10,INDEX(targets!$F$2:$F$13,MONTH($A303)),0)</f>
        <v>44.222222222222221</v>
      </c>
    </row>
    <row r="304" spans="1:6" x14ac:dyDescent="0.3">
      <c r="A304" s="1">
        <v>46325</v>
      </c>
      <c r="B304" t="s">
        <v>5</v>
      </c>
      <c r="C304">
        <v>8</v>
      </c>
      <c r="D304">
        <v>0</v>
      </c>
      <c r="E304" s="7" cm="1">
        <f t="array" ref="E304">IF($B304="Weekday",INDEX(targets!$G$2:$G$13,MONTH($A304)),0)</f>
        <v>171.23809523809524</v>
      </c>
      <c r="F304" s="7" cm="1">
        <f t="array" ref="F304">IF($D304=10,INDEX(targets!$F$2:$F$13,MONTH($A304)),0)</f>
        <v>0</v>
      </c>
    </row>
    <row r="305" spans="1:6" x14ac:dyDescent="0.3">
      <c r="A305" s="1">
        <v>46326</v>
      </c>
      <c r="B305" t="s">
        <v>6</v>
      </c>
      <c r="C305">
        <v>0</v>
      </c>
      <c r="D305">
        <v>0</v>
      </c>
      <c r="E305" s="7" cm="1">
        <f t="array" ref="E305">IF($B305="Weekday",INDEX(targets!$G$2:$G$13,MONTH($A305)),0)</f>
        <v>0</v>
      </c>
      <c r="F305" s="7" cm="1">
        <f t="array" ref="F305">IF($D305=10,INDEX(targets!$F$2:$F$13,MONTH($A305)),0)</f>
        <v>0</v>
      </c>
    </row>
    <row r="306" spans="1:6" x14ac:dyDescent="0.3">
      <c r="A306" s="1">
        <v>46327</v>
      </c>
      <c r="B306" t="s">
        <v>6</v>
      </c>
      <c r="C306">
        <v>0</v>
      </c>
      <c r="D306">
        <v>0</v>
      </c>
      <c r="E306" s="7" cm="1">
        <f t="array" ref="E306">IF($B306="Weekday",INDEX(targets!$G$2:$G$13,MONTH($A306)),0)</f>
        <v>0</v>
      </c>
      <c r="F306" s="7" cm="1">
        <f t="array" ref="F306">IF($D306=10,INDEX(targets!$F$2:$F$13,MONTH($A306)),0)</f>
        <v>0</v>
      </c>
    </row>
    <row r="307" spans="1:6" x14ac:dyDescent="0.3">
      <c r="A307" s="1">
        <v>46328</v>
      </c>
      <c r="B307" t="s">
        <v>5</v>
      </c>
      <c r="C307">
        <v>8</v>
      </c>
      <c r="D307">
        <v>10</v>
      </c>
      <c r="E307" s="7" cm="1">
        <f t="array" ref="E307">IF($B307="Weekday",INDEX(targets!$G$2:$G$13,MONTH($A307)),0)</f>
        <v>136.19999999999999</v>
      </c>
      <c r="F307" s="7" cm="1">
        <f t="array" ref="F307">IF($D307=10,INDEX(targets!$F$2:$F$13,MONTH($A307)),0)</f>
        <v>44.222222222222221</v>
      </c>
    </row>
    <row r="308" spans="1:6" x14ac:dyDescent="0.3">
      <c r="A308" s="1">
        <v>46329</v>
      </c>
      <c r="B308" t="s">
        <v>5</v>
      </c>
      <c r="C308">
        <v>8</v>
      </c>
      <c r="D308">
        <v>10</v>
      </c>
      <c r="E308" s="7" cm="1">
        <f t="array" ref="E308">IF($B308="Weekday",INDEX(targets!$G$2:$G$13,MONTH($A308)),0)</f>
        <v>136.19999999999999</v>
      </c>
      <c r="F308" s="7" cm="1">
        <f t="array" ref="F308">IF($D308=10,INDEX(targets!$F$2:$F$13,MONTH($A308)),0)</f>
        <v>44.222222222222221</v>
      </c>
    </row>
    <row r="309" spans="1:6" x14ac:dyDescent="0.3">
      <c r="A309" s="1">
        <v>46330</v>
      </c>
      <c r="B309" t="s">
        <v>5</v>
      </c>
      <c r="C309">
        <v>8</v>
      </c>
      <c r="D309">
        <v>10</v>
      </c>
      <c r="E309" s="7" cm="1">
        <f t="array" ref="E309">IF($B309="Weekday",INDEX(targets!$G$2:$G$13,MONTH($A309)),0)</f>
        <v>136.19999999999999</v>
      </c>
      <c r="F309" s="7" cm="1">
        <f t="array" ref="F309">IF($D309=10,INDEX(targets!$F$2:$F$13,MONTH($A309)),0)</f>
        <v>44.222222222222221</v>
      </c>
    </row>
    <row r="310" spans="1:6" x14ac:dyDescent="0.3">
      <c r="A310" s="1">
        <v>46331</v>
      </c>
      <c r="B310" t="s">
        <v>5</v>
      </c>
      <c r="C310">
        <v>8</v>
      </c>
      <c r="D310">
        <v>10</v>
      </c>
      <c r="E310" s="7" cm="1">
        <f t="array" ref="E310">IF($B310="Weekday",INDEX(targets!$G$2:$G$13,MONTH($A310)),0)</f>
        <v>136.19999999999999</v>
      </c>
      <c r="F310" s="7" cm="1">
        <f t="array" ref="F310">IF($D310=10,INDEX(targets!$F$2:$F$13,MONTH($A310)),0)</f>
        <v>44.222222222222221</v>
      </c>
    </row>
    <row r="311" spans="1:6" x14ac:dyDescent="0.3">
      <c r="A311" s="1">
        <v>46332</v>
      </c>
      <c r="B311" t="s">
        <v>5</v>
      </c>
      <c r="C311">
        <v>8</v>
      </c>
      <c r="D311">
        <v>10</v>
      </c>
      <c r="E311" s="7" cm="1">
        <f t="array" ref="E311">IF($B311="Weekday",INDEX(targets!$G$2:$G$13,MONTH($A311)),0)</f>
        <v>136.19999999999999</v>
      </c>
      <c r="F311" s="7" cm="1">
        <f t="array" ref="F311">IF($D311=10,INDEX(targets!$F$2:$F$13,MONTH($A311)),0)</f>
        <v>44.222222222222221</v>
      </c>
    </row>
    <row r="312" spans="1:6" x14ac:dyDescent="0.3">
      <c r="A312" s="1">
        <v>46333</v>
      </c>
      <c r="B312" t="s">
        <v>6</v>
      </c>
      <c r="C312">
        <v>0</v>
      </c>
      <c r="D312">
        <v>0</v>
      </c>
      <c r="E312" s="7" cm="1">
        <f t="array" ref="E312">IF($B312="Weekday",INDEX(targets!$G$2:$G$13,MONTH($A312)),0)</f>
        <v>0</v>
      </c>
      <c r="F312" s="7" cm="1">
        <f t="array" ref="F312">IF($D312=10,INDEX(targets!$F$2:$F$13,MONTH($A312)),0)</f>
        <v>0</v>
      </c>
    </row>
    <row r="313" spans="1:6" x14ac:dyDescent="0.3">
      <c r="A313" s="1">
        <v>46334</v>
      </c>
      <c r="B313" t="s">
        <v>6</v>
      </c>
      <c r="C313">
        <v>0</v>
      </c>
      <c r="D313">
        <v>0</v>
      </c>
      <c r="E313" s="7" cm="1">
        <f t="array" ref="E313">IF($B313="Weekday",INDEX(targets!$G$2:$G$13,MONTH($A313)),0)</f>
        <v>0</v>
      </c>
      <c r="F313" s="7" cm="1">
        <f t="array" ref="F313">IF($D313=10,INDEX(targets!$F$2:$F$13,MONTH($A313)),0)</f>
        <v>0</v>
      </c>
    </row>
    <row r="314" spans="1:6" x14ac:dyDescent="0.3">
      <c r="A314" s="1">
        <v>46335</v>
      </c>
      <c r="B314" t="s">
        <v>5</v>
      </c>
      <c r="C314">
        <v>8</v>
      </c>
      <c r="D314">
        <v>10</v>
      </c>
      <c r="E314" s="7" cm="1">
        <f t="array" ref="E314">IF($B314="Weekday",INDEX(targets!$G$2:$G$13,MONTH($A314)),0)</f>
        <v>136.19999999999999</v>
      </c>
      <c r="F314" s="7" cm="1">
        <f t="array" ref="F314">IF($D314=10,INDEX(targets!$F$2:$F$13,MONTH($A314)),0)</f>
        <v>44.222222222222221</v>
      </c>
    </row>
    <row r="315" spans="1:6" x14ac:dyDescent="0.3">
      <c r="A315" s="1">
        <v>46336</v>
      </c>
      <c r="B315" t="s">
        <v>5</v>
      </c>
      <c r="C315">
        <v>8</v>
      </c>
      <c r="D315">
        <v>10</v>
      </c>
      <c r="E315" s="7" cm="1">
        <f t="array" ref="E315">IF($B315="Weekday",INDEX(targets!$G$2:$G$13,MONTH($A315)),0)</f>
        <v>136.19999999999999</v>
      </c>
      <c r="F315" s="7" cm="1">
        <f t="array" ref="F315">IF($D315=10,INDEX(targets!$F$2:$F$13,MONTH($A315)),0)</f>
        <v>44.222222222222221</v>
      </c>
    </row>
    <row r="316" spans="1:6" x14ac:dyDescent="0.3">
      <c r="A316" s="1">
        <v>46337</v>
      </c>
      <c r="B316" t="s">
        <v>4</v>
      </c>
      <c r="C316">
        <v>0</v>
      </c>
      <c r="D316">
        <v>0</v>
      </c>
      <c r="E316" s="7" cm="1">
        <f t="array" ref="E316">IF($B316="Weekday",INDEX(targets!$G$2:$G$13,MONTH($A316)),0)</f>
        <v>0</v>
      </c>
      <c r="F316" s="7" cm="1">
        <f t="array" ref="F316">IF($D316=10,INDEX(targets!$F$2:$F$13,MONTH($A316)),0)</f>
        <v>0</v>
      </c>
    </row>
    <row r="317" spans="1:6" x14ac:dyDescent="0.3">
      <c r="A317" s="1">
        <v>46338</v>
      </c>
      <c r="B317" t="s">
        <v>5</v>
      </c>
      <c r="C317">
        <v>8</v>
      </c>
      <c r="D317">
        <v>10</v>
      </c>
      <c r="E317" s="7" cm="1">
        <f t="array" ref="E317">IF($B317="Weekday",INDEX(targets!$G$2:$G$13,MONTH($A317)),0)</f>
        <v>136.19999999999999</v>
      </c>
      <c r="F317" s="7" cm="1">
        <f t="array" ref="F317">IF($D317=10,INDEX(targets!$F$2:$F$13,MONTH($A317)),0)</f>
        <v>44.222222222222221</v>
      </c>
    </row>
    <row r="318" spans="1:6" x14ac:dyDescent="0.3">
      <c r="A318" s="1">
        <v>46339</v>
      </c>
      <c r="B318" t="s">
        <v>5</v>
      </c>
      <c r="C318">
        <v>8</v>
      </c>
      <c r="D318">
        <v>10</v>
      </c>
      <c r="E318" s="7" cm="1">
        <f t="array" ref="E318">IF($B318="Weekday",INDEX(targets!$G$2:$G$13,MONTH($A318)),0)</f>
        <v>136.19999999999999</v>
      </c>
      <c r="F318" s="7" cm="1">
        <f t="array" ref="F318">IF($D318=10,INDEX(targets!$F$2:$F$13,MONTH($A318)),0)</f>
        <v>44.222222222222221</v>
      </c>
    </row>
    <row r="319" spans="1:6" x14ac:dyDescent="0.3">
      <c r="A319" s="1">
        <v>46340</v>
      </c>
      <c r="B319" t="s">
        <v>6</v>
      </c>
      <c r="C319">
        <v>0</v>
      </c>
      <c r="D319">
        <v>0</v>
      </c>
      <c r="E319" s="7" cm="1">
        <f t="array" ref="E319">IF($B319="Weekday",INDEX(targets!$G$2:$G$13,MONTH($A319)),0)</f>
        <v>0</v>
      </c>
      <c r="F319" s="7" cm="1">
        <f t="array" ref="F319">IF($D319=10,INDEX(targets!$F$2:$F$13,MONTH($A319)),0)</f>
        <v>0</v>
      </c>
    </row>
    <row r="320" spans="1:6" x14ac:dyDescent="0.3">
      <c r="A320" s="1">
        <v>46341</v>
      </c>
      <c r="B320" t="s">
        <v>6</v>
      </c>
      <c r="C320">
        <v>0</v>
      </c>
      <c r="D320">
        <v>0</v>
      </c>
      <c r="E320" s="7" cm="1">
        <f t="array" ref="E320">IF($B320="Weekday",INDEX(targets!$G$2:$G$13,MONTH($A320)),0)</f>
        <v>0</v>
      </c>
      <c r="F320" s="7" cm="1">
        <f t="array" ref="F320">IF($D320=10,INDEX(targets!$F$2:$F$13,MONTH($A320)),0)</f>
        <v>0</v>
      </c>
    </row>
    <row r="321" spans="1:6" x14ac:dyDescent="0.3">
      <c r="A321" s="1">
        <v>46342</v>
      </c>
      <c r="B321" t="s">
        <v>5</v>
      </c>
      <c r="C321">
        <v>8</v>
      </c>
      <c r="D321">
        <v>10</v>
      </c>
      <c r="E321" s="7" cm="1">
        <f t="array" ref="E321">IF($B321="Weekday",INDEX(targets!$G$2:$G$13,MONTH($A321)),0)</f>
        <v>136.19999999999999</v>
      </c>
      <c r="F321" s="7" cm="1">
        <f t="array" ref="F321">IF($D321=10,INDEX(targets!$F$2:$F$13,MONTH($A321)),0)</f>
        <v>44.222222222222221</v>
      </c>
    </row>
    <row r="322" spans="1:6" x14ac:dyDescent="0.3">
      <c r="A322" s="1">
        <v>46343</v>
      </c>
      <c r="B322" t="s">
        <v>5</v>
      </c>
      <c r="C322">
        <v>8</v>
      </c>
      <c r="D322">
        <v>10</v>
      </c>
      <c r="E322" s="7" cm="1">
        <f t="array" ref="E322">IF($B322="Weekday",INDEX(targets!$G$2:$G$13,MONTH($A322)),0)</f>
        <v>136.19999999999999</v>
      </c>
      <c r="F322" s="7" cm="1">
        <f t="array" ref="F322">IF($D322=10,INDEX(targets!$F$2:$F$13,MONTH($A322)),0)</f>
        <v>44.222222222222221</v>
      </c>
    </row>
    <row r="323" spans="1:6" x14ac:dyDescent="0.3">
      <c r="A323" s="1">
        <v>46344</v>
      </c>
      <c r="B323" t="s">
        <v>5</v>
      </c>
      <c r="C323">
        <v>8</v>
      </c>
      <c r="D323">
        <v>10</v>
      </c>
      <c r="E323" s="7" cm="1">
        <f t="array" ref="E323">IF($B323="Weekday",INDEX(targets!$G$2:$G$13,MONTH($A323)),0)</f>
        <v>136.19999999999999</v>
      </c>
      <c r="F323" s="7" cm="1">
        <f t="array" ref="F323">IF($D323=10,INDEX(targets!$F$2:$F$13,MONTH($A323)),0)</f>
        <v>44.222222222222221</v>
      </c>
    </row>
    <row r="324" spans="1:6" x14ac:dyDescent="0.3">
      <c r="A324" s="1">
        <v>46345</v>
      </c>
      <c r="B324" t="s">
        <v>5</v>
      </c>
      <c r="C324">
        <v>8</v>
      </c>
      <c r="D324">
        <v>10</v>
      </c>
      <c r="E324" s="7" cm="1">
        <f t="array" ref="E324">IF($B324="Weekday",INDEX(targets!$G$2:$G$13,MONTH($A324)),0)</f>
        <v>136.19999999999999</v>
      </c>
      <c r="F324" s="7" cm="1">
        <f t="array" ref="F324">IF($D324=10,INDEX(targets!$F$2:$F$13,MONTH($A324)),0)</f>
        <v>44.222222222222221</v>
      </c>
    </row>
    <row r="325" spans="1:6" x14ac:dyDescent="0.3">
      <c r="A325" s="1">
        <v>46346</v>
      </c>
      <c r="B325" t="s">
        <v>5</v>
      </c>
      <c r="C325">
        <v>8</v>
      </c>
      <c r="D325">
        <v>0</v>
      </c>
      <c r="E325" s="7" cm="1">
        <f t="array" ref="E325">IF($B325="Weekday",INDEX(targets!$G$2:$G$13,MONTH($A325)),0)</f>
        <v>136.19999999999999</v>
      </c>
      <c r="F325" s="7" cm="1">
        <f t="array" ref="F325">IF($D325=10,INDEX(targets!$F$2:$F$13,MONTH($A325)),0)</f>
        <v>0</v>
      </c>
    </row>
    <row r="326" spans="1:6" x14ac:dyDescent="0.3">
      <c r="A326" s="1">
        <v>46347</v>
      </c>
      <c r="B326" t="s">
        <v>6</v>
      </c>
      <c r="C326">
        <v>0</v>
      </c>
      <c r="D326">
        <v>0</v>
      </c>
      <c r="E326" s="7" cm="1">
        <f t="array" ref="E326">IF($B326="Weekday",INDEX(targets!$G$2:$G$13,MONTH($A326)),0)</f>
        <v>0</v>
      </c>
      <c r="F326" s="7" cm="1">
        <f t="array" ref="F326">IF($D326=10,INDEX(targets!$F$2:$F$13,MONTH($A326)),0)</f>
        <v>0</v>
      </c>
    </row>
    <row r="327" spans="1:6" x14ac:dyDescent="0.3">
      <c r="A327" s="1">
        <v>46348</v>
      </c>
      <c r="B327" t="s">
        <v>6</v>
      </c>
      <c r="C327">
        <v>0</v>
      </c>
      <c r="D327">
        <v>0</v>
      </c>
      <c r="E327" s="7" cm="1">
        <f t="array" ref="E327">IF($B327="Weekday",INDEX(targets!$G$2:$G$13,MONTH($A327)),0)</f>
        <v>0</v>
      </c>
      <c r="F327" s="7" cm="1">
        <f t="array" ref="F327">IF($D327=10,INDEX(targets!$F$2:$F$13,MONTH($A327)),0)</f>
        <v>0</v>
      </c>
    </row>
    <row r="328" spans="1:6" x14ac:dyDescent="0.3">
      <c r="A328" s="1">
        <v>46349</v>
      </c>
      <c r="B328" t="s">
        <v>5</v>
      </c>
      <c r="C328">
        <v>8</v>
      </c>
      <c r="D328">
        <v>10</v>
      </c>
      <c r="E328" s="7" cm="1">
        <f t="array" ref="E328">IF($B328="Weekday",INDEX(targets!$G$2:$G$13,MONTH($A328)),0)</f>
        <v>136.19999999999999</v>
      </c>
      <c r="F328" s="7" cm="1">
        <f t="array" ref="F328">IF($D328=10,INDEX(targets!$F$2:$F$13,MONTH($A328)),0)</f>
        <v>44.222222222222221</v>
      </c>
    </row>
    <row r="329" spans="1:6" x14ac:dyDescent="0.3">
      <c r="A329" s="1">
        <v>46350</v>
      </c>
      <c r="B329" t="s">
        <v>5</v>
      </c>
      <c r="C329">
        <v>8</v>
      </c>
      <c r="D329">
        <v>10</v>
      </c>
      <c r="E329" s="7" cm="1">
        <f t="array" ref="E329">IF($B329="Weekday",INDEX(targets!$G$2:$G$13,MONTH($A329)),0)</f>
        <v>136.19999999999999</v>
      </c>
      <c r="F329" s="7" cm="1">
        <f t="array" ref="F329">IF($D329=10,INDEX(targets!$F$2:$F$13,MONTH($A329)),0)</f>
        <v>44.222222222222221</v>
      </c>
    </row>
    <row r="330" spans="1:6" x14ac:dyDescent="0.3">
      <c r="A330" s="1">
        <v>46351</v>
      </c>
      <c r="B330" t="s">
        <v>5</v>
      </c>
      <c r="C330">
        <v>8</v>
      </c>
      <c r="D330">
        <v>10</v>
      </c>
      <c r="E330" s="7" cm="1">
        <f t="array" ref="E330">IF($B330="Weekday",INDEX(targets!$G$2:$G$13,MONTH($A330)),0)</f>
        <v>136.19999999999999</v>
      </c>
      <c r="F330" s="7" cm="1">
        <f t="array" ref="F330">IF($D330=10,INDEX(targets!$F$2:$F$13,MONTH($A330)),0)</f>
        <v>44.222222222222221</v>
      </c>
    </row>
    <row r="331" spans="1:6" x14ac:dyDescent="0.3">
      <c r="A331" s="1">
        <v>46352</v>
      </c>
      <c r="B331" t="s">
        <v>5</v>
      </c>
      <c r="C331">
        <v>8</v>
      </c>
      <c r="D331">
        <v>10</v>
      </c>
      <c r="E331" s="7" cm="1">
        <f t="array" ref="E331">IF($B331="Weekday",INDEX(targets!$G$2:$G$13,MONTH($A331)),0)</f>
        <v>136.19999999999999</v>
      </c>
      <c r="F331" s="7" cm="1">
        <f t="array" ref="F331">IF($D331=10,INDEX(targets!$F$2:$F$13,MONTH($A331)),0)</f>
        <v>44.222222222222221</v>
      </c>
    </row>
    <row r="332" spans="1:6" x14ac:dyDescent="0.3">
      <c r="A332" s="1">
        <v>46353</v>
      </c>
      <c r="B332" t="s">
        <v>5</v>
      </c>
      <c r="C332">
        <v>8</v>
      </c>
      <c r="D332">
        <v>0</v>
      </c>
      <c r="E332" s="7" cm="1">
        <f t="array" ref="E332">IF($B332="Weekday",INDEX(targets!$G$2:$G$13,MONTH($A332)),0)</f>
        <v>136.19999999999999</v>
      </c>
      <c r="F332" s="7" cm="1">
        <f t="array" ref="F332">IF($D332=10,INDEX(targets!$F$2:$F$13,MONTH($A332)),0)</f>
        <v>0</v>
      </c>
    </row>
    <row r="333" spans="1:6" x14ac:dyDescent="0.3">
      <c r="A333" s="1">
        <v>46354</v>
      </c>
      <c r="B333" t="s">
        <v>6</v>
      </c>
      <c r="C333">
        <v>0</v>
      </c>
      <c r="D333">
        <v>0</v>
      </c>
      <c r="E333" s="7" cm="1">
        <f t="array" ref="E333">IF($B333="Weekday",INDEX(targets!$G$2:$G$13,MONTH($A333)),0)</f>
        <v>0</v>
      </c>
      <c r="F333" s="7" cm="1">
        <f t="array" ref="F333">IF($D333=10,INDEX(targets!$F$2:$F$13,MONTH($A333)),0)</f>
        <v>0</v>
      </c>
    </row>
    <row r="334" spans="1:6" x14ac:dyDescent="0.3">
      <c r="A334" s="1">
        <v>46355</v>
      </c>
      <c r="B334" t="s">
        <v>6</v>
      </c>
      <c r="C334">
        <v>0</v>
      </c>
      <c r="D334">
        <v>0</v>
      </c>
      <c r="E334" s="7" cm="1">
        <f t="array" ref="E334">IF($B334="Weekday",INDEX(targets!$G$2:$G$13,MONTH($A334)),0)</f>
        <v>0</v>
      </c>
      <c r="F334" s="7" cm="1">
        <f t="array" ref="F334">IF($D334=10,INDEX(targets!$F$2:$F$13,MONTH($A334)),0)</f>
        <v>0</v>
      </c>
    </row>
    <row r="335" spans="1:6" x14ac:dyDescent="0.3">
      <c r="A335" s="1">
        <v>46356</v>
      </c>
      <c r="B335" t="s">
        <v>5</v>
      </c>
      <c r="C335">
        <v>8</v>
      </c>
      <c r="D335">
        <v>10</v>
      </c>
      <c r="E335" s="7" cm="1">
        <f t="array" ref="E335">IF($B335="Weekday",INDEX(targets!$G$2:$G$13,MONTH($A335)),0)</f>
        <v>136.19999999999999</v>
      </c>
      <c r="F335" s="7" cm="1">
        <f t="array" ref="F335">IF($D335=10,INDEX(targets!$F$2:$F$13,MONTH($A335)),0)</f>
        <v>44.222222222222221</v>
      </c>
    </row>
    <row r="336" spans="1:6" x14ac:dyDescent="0.3">
      <c r="A336" s="1">
        <v>46357</v>
      </c>
      <c r="B336" t="s">
        <v>5</v>
      </c>
      <c r="C336">
        <v>8</v>
      </c>
      <c r="D336">
        <v>10</v>
      </c>
      <c r="E336" s="7" cm="1">
        <f t="array" ref="E336">IF($B336="Weekday",INDEX(targets!$G$2:$G$13,MONTH($A336)),0)</f>
        <v>6.5454545454545459</v>
      </c>
      <c r="F336" s="7" cm="1">
        <f t="array" ref="F336">IF($D336=10,INDEX(targets!$F$2:$F$13,MONTH($A336)),0)</f>
        <v>20.94736842105263</v>
      </c>
    </row>
    <row r="337" spans="1:6" x14ac:dyDescent="0.3">
      <c r="A337" s="1">
        <v>46358</v>
      </c>
      <c r="B337" t="s">
        <v>5</v>
      </c>
      <c r="C337">
        <v>8</v>
      </c>
      <c r="D337">
        <v>10</v>
      </c>
      <c r="E337" s="7" cm="1">
        <f t="array" ref="E337">IF($B337="Weekday",INDEX(targets!$G$2:$G$13,MONTH($A337)),0)</f>
        <v>6.5454545454545459</v>
      </c>
      <c r="F337" s="7" cm="1">
        <f t="array" ref="F337">IF($D337=10,INDEX(targets!$F$2:$F$13,MONTH($A337)),0)</f>
        <v>20.94736842105263</v>
      </c>
    </row>
    <row r="338" spans="1:6" x14ac:dyDescent="0.3">
      <c r="A338" s="1">
        <v>46359</v>
      </c>
      <c r="B338" t="s">
        <v>5</v>
      </c>
      <c r="C338">
        <v>8</v>
      </c>
      <c r="D338">
        <v>10</v>
      </c>
      <c r="E338" s="7" cm="1">
        <f t="array" ref="E338">IF($B338="Weekday",INDEX(targets!$G$2:$G$13,MONTH($A338)),0)</f>
        <v>6.5454545454545459</v>
      </c>
      <c r="F338" s="7" cm="1">
        <f t="array" ref="F338">IF($D338=10,INDEX(targets!$F$2:$F$13,MONTH($A338)),0)</f>
        <v>20.94736842105263</v>
      </c>
    </row>
    <row r="339" spans="1:6" x14ac:dyDescent="0.3">
      <c r="A339" s="1">
        <v>46360</v>
      </c>
      <c r="B339" t="s">
        <v>5</v>
      </c>
      <c r="C339">
        <v>8</v>
      </c>
      <c r="D339">
        <v>0</v>
      </c>
      <c r="E339" s="7" cm="1">
        <f t="array" ref="E339">IF($B339="Weekday",INDEX(targets!$G$2:$G$13,MONTH($A339)),0)</f>
        <v>6.5454545454545459</v>
      </c>
      <c r="F339" s="7" cm="1">
        <f t="array" ref="F339">IF($D339=10,INDEX(targets!$F$2:$F$13,MONTH($A339)),0)</f>
        <v>0</v>
      </c>
    </row>
    <row r="340" spans="1:6" x14ac:dyDescent="0.3">
      <c r="A340" s="1">
        <v>46361</v>
      </c>
      <c r="B340" t="s">
        <v>6</v>
      </c>
      <c r="C340">
        <v>0</v>
      </c>
      <c r="D340">
        <v>0</v>
      </c>
      <c r="E340" s="7" cm="1">
        <f t="array" ref="E340">IF($B340="Weekday",INDEX(targets!$G$2:$G$13,MONTH($A340)),0)</f>
        <v>0</v>
      </c>
      <c r="F340" s="7" cm="1">
        <f t="array" ref="F340">IF($D340=10,INDEX(targets!$F$2:$F$13,MONTH($A340)),0)</f>
        <v>0</v>
      </c>
    </row>
    <row r="341" spans="1:6" x14ac:dyDescent="0.3">
      <c r="A341" s="1">
        <v>46362</v>
      </c>
      <c r="B341" t="s">
        <v>6</v>
      </c>
      <c r="C341">
        <v>0</v>
      </c>
      <c r="D341">
        <v>0</v>
      </c>
      <c r="E341" s="7" cm="1">
        <f t="array" ref="E341">IF($B341="Weekday",INDEX(targets!$G$2:$G$13,MONTH($A341)),0)</f>
        <v>0</v>
      </c>
      <c r="F341" s="7" cm="1">
        <f t="array" ref="F341">IF($D341=10,INDEX(targets!$F$2:$F$13,MONTH($A341)),0)</f>
        <v>0</v>
      </c>
    </row>
    <row r="342" spans="1:6" x14ac:dyDescent="0.3">
      <c r="A342" s="1">
        <v>46363</v>
      </c>
      <c r="B342" t="s">
        <v>5</v>
      </c>
      <c r="C342">
        <v>8</v>
      </c>
      <c r="D342">
        <v>10</v>
      </c>
      <c r="E342" s="7" cm="1">
        <f t="array" ref="E342">IF($B342="Weekday",INDEX(targets!$G$2:$G$13,MONTH($A342)),0)</f>
        <v>6.5454545454545459</v>
      </c>
      <c r="F342" s="7" cm="1">
        <f t="array" ref="F342">IF($D342=10,INDEX(targets!$F$2:$F$13,MONTH($A342)),0)</f>
        <v>20.94736842105263</v>
      </c>
    </row>
    <row r="343" spans="1:6" x14ac:dyDescent="0.3">
      <c r="A343" s="1">
        <v>46364</v>
      </c>
      <c r="B343" t="s">
        <v>5</v>
      </c>
      <c r="C343">
        <v>8</v>
      </c>
      <c r="D343">
        <v>10</v>
      </c>
      <c r="E343" s="7" cm="1">
        <f t="array" ref="E343">IF($B343="Weekday",INDEX(targets!$G$2:$G$13,MONTH($A343)),0)</f>
        <v>6.5454545454545459</v>
      </c>
      <c r="F343" s="7" cm="1">
        <f t="array" ref="F343">IF($D343=10,INDEX(targets!$F$2:$F$13,MONTH($A343)),0)</f>
        <v>20.94736842105263</v>
      </c>
    </row>
    <row r="344" spans="1:6" x14ac:dyDescent="0.3">
      <c r="A344" s="1">
        <v>46365</v>
      </c>
      <c r="B344" t="s">
        <v>5</v>
      </c>
      <c r="C344">
        <v>8</v>
      </c>
      <c r="D344">
        <v>10</v>
      </c>
      <c r="E344" s="7" cm="1">
        <f t="array" ref="E344">IF($B344="Weekday",INDEX(targets!$G$2:$G$13,MONTH($A344)),0)</f>
        <v>6.5454545454545459</v>
      </c>
      <c r="F344" s="7" cm="1">
        <f t="array" ref="F344">IF($D344=10,INDEX(targets!$F$2:$F$13,MONTH($A344)),0)</f>
        <v>20.94736842105263</v>
      </c>
    </row>
    <row r="345" spans="1:6" x14ac:dyDescent="0.3">
      <c r="A345" s="1">
        <v>46366</v>
      </c>
      <c r="B345" t="s">
        <v>5</v>
      </c>
      <c r="C345">
        <v>8</v>
      </c>
      <c r="D345">
        <v>10</v>
      </c>
      <c r="E345" s="7" cm="1">
        <f t="array" ref="E345">IF($B345="Weekday",INDEX(targets!$G$2:$G$13,MONTH($A345)),0)</f>
        <v>6.5454545454545459</v>
      </c>
      <c r="F345" s="7" cm="1">
        <f t="array" ref="F345">IF($D345=10,INDEX(targets!$F$2:$F$13,MONTH($A345)),0)</f>
        <v>20.94736842105263</v>
      </c>
    </row>
    <row r="346" spans="1:6" x14ac:dyDescent="0.3">
      <c r="A346" s="1">
        <v>46367</v>
      </c>
      <c r="B346" t="s">
        <v>5</v>
      </c>
      <c r="C346">
        <v>8</v>
      </c>
      <c r="D346">
        <v>0</v>
      </c>
      <c r="E346" s="7" cm="1">
        <f t="array" ref="E346">IF($B346="Weekday",INDEX(targets!$G$2:$G$13,MONTH($A346)),0)</f>
        <v>6.5454545454545459</v>
      </c>
      <c r="F346" s="7" cm="1">
        <f t="array" ref="F346">IF($D346=10,INDEX(targets!$F$2:$F$13,MONTH($A346)),0)</f>
        <v>0</v>
      </c>
    </row>
    <row r="347" spans="1:6" x14ac:dyDescent="0.3">
      <c r="A347" s="1">
        <v>46368</v>
      </c>
      <c r="B347" t="s">
        <v>6</v>
      </c>
      <c r="C347">
        <v>0</v>
      </c>
      <c r="D347">
        <v>0</v>
      </c>
      <c r="E347" s="7" cm="1">
        <f t="array" ref="E347">IF($B347="Weekday",INDEX(targets!$G$2:$G$13,MONTH($A347)),0)</f>
        <v>0</v>
      </c>
      <c r="F347" s="7" cm="1">
        <f t="array" ref="F347">IF($D347=10,INDEX(targets!$F$2:$F$13,MONTH($A347)),0)</f>
        <v>0</v>
      </c>
    </row>
    <row r="348" spans="1:6" x14ac:dyDescent="0.3">
      <c r="A348" s="1">
        <v>46369</v>
      </c>
      <c r="B348" t="s">
        <v>6</v>
      </c>
      <c r="C348">
        <v>0</v>
      </c>
      <c r="D348">
        <v>0</v>
      </c>
      <c r="E348" s="7" cm="1">
        <f t="array" ref="E348">IF($B348="Weekday",INDEX(targets!$G$2:$G$13,MONTH($A348)),0)</f>
        <v>0</v>
      </c>
      <c r="F348" s="7" cm="1">
        <f t="array" ref="F348">IF($D348=10,INDEX(targets!$F$2:$F$13,MONTH($A348)),0)</f>
        <v>0</v>
      </c>
    </row>
    <row r="349" spans="1:6" x14ac:dyDescent="0.3">
      <c r="A349" s="1">
        <v>46370</v>
      </c>
      <c r="B349" t="s">
        <v>5</v>
      </c>
      <c r="C349">
        <v>0</v>
      </c>
      <c r="D349">
        <v>10</v>
      </c>
      <c r="E349" s="7" cm="1">
        <f t="array" ref="E349">IF($B349="Weekday",INDEX(targets!$G$2:$G$13,MONTH($A349)),0)</f>
        <v>6.5454545454545459</v>
      </c>
      <c r="F349" s="7" cm="1">
        <f t="array" ref="F349">IF($D349=10,INDEX(targets!$F$2:$F$13,MONTH($A349)),0)</f>
        <v>20.94736842105263</v>
      </c>
    </row>
    <row r="350" spans="1:6" x14ac:dyDescent="0.3">
      <c r="A350" s="1">
        <v>46371</v>
      </c>
      <c r="B350" t="s">
        <v>5</v>
      </c>
      <c r="C350">
        <v>0</v>
      </c>
      <c r="D350">
        <v>10</v>
      </c>
      <c r="E350" s="7" cm="1">
        <f t="array" ref="E350">IF($B350="Weekday",INDEX(targets!$G$2:$G$13,MONTH($A350)),0)</f>
        <v>6.5454545454545459</v>
      </c>
      <c r="F350" s="7" cm="1">
        <f t="array" ref="F350">IF($D350=10,INDEX(targets!$F$2:$F$13,MONTH($A350)),0)</f>
        <v>20.94736842105263</v>
      </c>
    </row>
    <row r="351" spans="1:6" x14ac:dyDescent="0.3">
      <c r="A351" s="1">
        <v>46372</v>
      </c>
      <c r="B351" t="s">
        <v>5</v>
      </c>
      <c r="C351">
        <v>0</v>
      </c>
      <c r="D351">
        <v>10</v>
      </c>
      <c r="E351" s="7" cm="1">
        <f t="array" ref="E351">IF($B351="Weekday",INDEX(targets!$G$2:$G$13,MONTH($A351)),0)</f>
        <v>6.5454545454545459</v>
      </c>
      <c r="F351" s="7" cm="1">
        <f t="array" ref="F351">IF($D351=10,INDEX(targets!$F$2:$F$13,MONTH($A351)),0)</f>
        <v>20.94736842105263</v>
      </c>
    </row>
    <row r="352" spans="1:6" x14ac:dyDescent="0.3">
      <c r="A352" s="1">
        <v>46373</v>
      </c>
      <c r="B352" t="s">
        <v>5</v>
      </c>
      <c r="C352">
        <v>0</v>
      </c>
      <c r="D352">
        <v>10</v>
      </c>
      <c r="E352" s="7" cm="1">
        <f t="array" ref="E352">IF($B352="Weekday",INDEX(targets!$G$2:$G$13,MONTH($A352)),0)</f>
        <v>6.5454545454545459</v>
      </c>
      <c r="F352" s="7" cm="1">
        <f t="array" ref="F352">IF($D352=10,INDEX(targets!$F$2:$F$13,MONTH($A352)),0)</f>
        <v>20.94736842105263</v>
      </c>
    </row>
    <row r="353" spans="1:6" x14ac:dyDescent="0.3">
      <c r="A353" s="1">
        <v>46374</v>
      </c>
      <c r="B353" t="s">
        <v>5</v>
      </c>
      <c r="C353">
        <v>0</v>
      </c>
      <c r="D353">
        <v>0</v>
      </c>
      <c r="E353" s="7" cm="1">
        <f t="array" ref="E353">IF($B353="Weekday",INDEX(targets!$G$2:$G$13,MONTH($A353)),0)</f>
        <v>6.5454545454545459</v>
      </c>
      <c r="F353" s="7" cm="1">
        <f t="array" ref="F353">IF($D353=10,INDEX(targets!$F$2:$F$13,MONTH($A353)),0)</f>
        <v>0</v>
      </c>
    </row>
    <row r="354" spans="1:6" x14ac:dyDescent="0.3">
      <c r="A354" s="1">
        <v>46375</v>
      </c>
      <c r="B354" t="s">
        <v>6</v>
      </c>
      <c r="C354">
        <v>0</v>
      </c>
      <c r="D354">
        <v>0</v>
      </c>
      <c r="E354" s="7" cm="1">
        <f t="array" ref="E354">IF($B354="Weekday",INDEX(targets!$G$2:$G$13,MONTH($A354)),0)</f>
        <v>0</v>
      </c>
      <c r="F354" s="7" cm="1">
        <f t="array" ref="F354">IF($D354=10,INDEX(targets!$F$2:$F$13,MONTH($A354)),0)</f>
        <v>0</v>
      </c>
    </row>
    <row r="355" spans="1:6" x14ac:dyDescent="0.3">
      <c r="A355" s="1">
        <v>46376</v>
      </c>
      <c r="B355" t="s">
        <v>6</v>
      </c>
      <c r="C355">
        <v>0</v>
      </c>
      <c r="D355">
        <v>0</v>
      </c>
      <c r="E355" s="7" cm="1">
        <f t="array" ref="E355">IF($B355="Weekday",INDEX(targets!$G$2:$G$13,MONTH($A355)),0)</f>
        <v>0</v>
      </c>
      <c r="F355" s="7" cm="1">
        <f t="array" ref="F355">IF($D355=10,INDEX(targets!$F$2:$F$13,MONTH($A355)),0)</f>
        <v>0</v>
      </c>
    </row>
    <row r="356" spans="1:6" x14ac:dyDescent="0.3">
      <c r="A356" s="1">
        <v>46377</v>
      </c>
      <c r="B356" t="s">
        <v>5</v>
      </c>
      <c r="C356">
        <v>0</v>
      </c>
      <c r="D356">
        <v>10</v>
      </c>
      <c r="E356" s="7" cm="1">
        <f t="array" ref="E356">IF($B356="Weekday",INDEX(targets!$G$2:$G$13,MONTH($A356)),0)</f>
        <v>6.5454545454545459</v>
      </c>
      <c r="F356" s="7" cm="1">
        <f t="array" ref="F356">IF($D356=10,INDEX(targets!$F$2:$F$13,MONTH($A356)),0)</f>
        <v>20.94736842105263</v>
      </c>
    </row>
    <row r="357" spans="1:6" x14ac:dyDescent="0.3">
      <c r="A357" s="1">
        <v>46378</v>
      </c>
      <c r="B357" t="s">
        <v>5</v>
      </c>
      <c r="C357">
        <v>0</v>
      </c>
      <c r="D357">
        <v>10</v>
      </c>
      <c r="E357" s="7" cm="1">
        <f t="array" ref="E357">IF($B357="Weekday",INDEX(targets!$G$2:$G$13,MONTH($A357)),0)</f>
        <v>6.5454545454545459</v>
      </c>
      <c r="F357" s="7" cm="1">
        <f t="array" ref="F357">IF($D357=10,INDEX(targets!$F$2:$F$13,MONTH($A357)),0)</f>
        <v>20.94736842105263</v>
      </c>
    </row>
    <row r="358" spans="1:6" x14ac:dyDescent="0.3">
      <c r="A358" s="1">
        <v>46379</v>
      </c>
      <c r="B358" t="s">
        <v>5</v>
      </c>
      <c r="C358">
        <v>0</v>
      </c>
      <c r="D358">
        <v>10</v>
      </c>
      <c r="E358" s="7" cm="1">
        <f t="array" ref="E358">IF($B358="Weekday",INDEX(targets!$G$2:$G$13,MONTH($A358)),0)</f>
        <v>6.5454545454545459</v>
      </c>
      <c r="F358" s="7" cm="1">
        <f t="array" ref="F358">IF($D358=10,INDEX(targets!$F$2:$F$13,MONTH($A358)),0)</f>
        <v>20.94736842105263</v>
      </c>
    </row>
    <row r="359" spans="1:6" x14ac:dyDescent="0.3">
      <c r="A359" s="1">
        <v>46380</v>
      </c>
      <c r="B359" t="s">
        <v>5</v>
      </c>
      <c r="C359">
        <v>0</v>
      </c>
      <c r="D359">
        <v>10</v>
      </c>
      <c r="E359" s="7" cm="1">
        <f t="array" ref="E359">IF($B359="Weekday",INDEX(targets!$G$2:$G$13,MONTH($A359)),0)</f>
        <v>6.5454545454545459</v>
      </c>
      <c r="F359" s="7" cm="1">
        <f t="array" ref="F359">IF($D359=10,INDEX(targets!$F$2:$F$13,MONTH($A359)),0)</f>
        <v>20.94736842105263</v>
      </c>
    </row>
    <row r="360" spans="1:6" x14ac:dyDescent="0.3">
      <c r="A360" s="1">
        <v>46381</v>
      </c>
      <c r="B360" t="s">
        <v>4</v>
      </c>
      <c r="C360">
        <v>0</v>
      </c>
      <c r="D360">
        <v>0</v>
      </c>
      <c r="E360" s="7" cm="1">
        <f t="array" ref="E360">IF($B360="Weekday",INDEX(targets!$G$2:$G$13,MONTH($A360)),0)</f>
        <v>0</v>
      </c>
      <c r="F360" s="7" cm="1">
        <f t="array" ref="F360">IF($D360=10,INDEX(targets!$F$2:$F$13,MONTH($A360)),0)</f>
        <v>0</v>
      </c>
    </row>
    <row r="361" spans="1:6" x14ac:dyDescent="0.3">
      <c r="A361" s="1">
        <v>46382</v>
      </c>
      <c r="B361" t="s">
        <v>6</v>
      </c>
      <c r="C361">
        <v>0</v>
      </c>
      <c r="D361">
        <v>0</v>
      </c>
      <c r="E361" s="7" cm="1">
        <f t="array" ref="E361">IF($B361="Weekday",INDEX(targets!$G$2:$G$13,MONTH($A361)),0)</f>
        <v>0</v>
      </c>
      <c r="F361" s="7" cm="1">
        <f t="array" ref="F361">IF($D361=10,INDEX(targets!$F$2:$F$13,MONTH($A361)),0)</f>
        <v>0</v>
      </c>
    </row>
    <row r="362" spans="1:6" x14ac:dyDescent="0.3">
      <c r="A362" s="1">
        <v>46383</v>
      </c>
      <c r="B362" t="s">
        <v>6</v>
      </c>
      <c r="C362">
        <v>0</v>
      </c>
      <c r="D362">
        <v>0</v>
      </c>
      <c r="E362" s="7" cm="1">
        <f t="array" ref="E362">IF($B362="Weekday",INDEX(targets!$G$2:$G$13,MONTH($A362)),0)</f>
        <v>0</v>
      </c>
      <c r="F362" s="7" cm="1">
        <f t="array" ref="F362">IF($D362=10,INDEX(targets!$F$2:$F$13,MONTH($A362)),0)</f>
        <v>0</v>
      </c>
    </row>
    <row r="363" spans="1:6" x14ac:dyDescent="0.3">
      <c r="A363" s="1">
        <v>46384</v>
      </c>
      <c r="B363" t="s">
        <v>5</v>
      </c>
      <c r="C363">
        <v>0</v>
      </c>
      <c r="D363">
        <v>10</v>
      </c>
      <c r="E363" s="7" cm="1">
        <f t="array" ref="E363">IF($B363="Weekday",INDEX(targets!$G$2:$G$13,MONTH($A363)),0)</f>
        <v>6.5454545454545459</v>
      </c>
      <c r="F363" s="7" cm="1">
        <f t="array" ref="F363">IF($D363=10,INDEX(targets!$F$2:$F$13,MONTH($A363)),0)</f>
        <v>20.94736842105263</v>
      </c>
    </row>
    <row r="364" spans="1:6" x14ac:dyDescent="0.3">
      <c r="A364" s="1">
        <v>46385</v>
      </c>
      <c r="B364" t="s">
        <v>5</v>
      </c>
      <c r="C364">
        <v>0</v>
      </c>
      <c r="D364">
        <v>10</v>
      </c>
      <c r="E364" s="7" cm="1">
        <f t="array" ref="E364">IF($B364="Weekday",INDEX(targets!$G$2:$G$13,MONTH($A364)),0)</f>
        <v>6.5454545454545459</v>
      </c>
      <c r="F364" s="7" cm="1">
        <f t="array" ref="F364">IF($D364=10,INDEX(targets!$F$2:$F$13,MONTH($A364)),0)</f>
        <v>20.94736842105263</v>
      </c>
    </row>
    <row r="365" spans="1:6" x14ac:dyDescent="0.3">
      <c r="A365" s="1">
        <v>46386</v>
      </c>
      <c r="B365" t="s">
        <v>5</v>
      </c>
      <c r="C365">
        <v>0</v>
      </c>
      <c r="D365">
        <v>10</v>
      </c>
      <c r="E365" s="7" cm="1">
        <f t="array" ref="E365">IF($B365="Weekday",INDEX(targets!$G$2:$G$13,MONTH($A365)),0)</f>
        <v>6.5454545454545459</v>
      </c>
      <c r="F365" s="7" cm="1">
        <f t="array" ref="F365">IF($D365=10,INDEX(targets!$F$2:$F$13,MONTH($A365)),0)</f>
        <v>20.94736842105263</v>
      </c>
    </row>
    <row r="366" spans="1:6" x14ac:dyDescent="0.3">
      <c r="A366" s="1">
        <v>46387</v>
      </c>
      <c r="B366" t="s">
        <v>5</v>
      </c>
      <c r="C366">
        <v>0</v>
      </c>
      <c r="D366">
        <v>10</v>
      </c>
      <c r="E366" s="7" cm="1">
        <f t="array" ref="E366">IF($B366="Weekday",INDEX(targets!$G$2:$G$13,MONTH($A366)),0)</f>
        <v>6.5454545454545459</v>
      </c>
      <c r="F366" s="7" cm="1">
        <f t="array" ref="F366">IF($D366=10,INDEX(targets!$F$2:$F$13,MONTH($A366)),0)</f>
        <v>20.94736842105263</v>
      </c>
    </row>
    <row r="367" spans="1:6" x14ac:dyDescent="0.3">
      <c r="A367" s="1"/>
      <c r="E367" s="7">
        <f>SUBTOTAL(109,Table2[DailyMain])</f>
        <v>30904.000000000036</v>
      </c>
      <c r="F367" s="7">
        <f>SUBTOTAL(109,Table2[DailyCons])</f>
        <v>9954.0000000000164</v>
      </c>
    </row>
    <row r="370" spans="6:6" x14ac:dyDescent="0.3">
      <c r="F370" s="7" t="s">
        <v>14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E13B9-B360-4FCC-B420-E83DB02EA157}">
  <dimension ref="A1:I14"/>
  <sheetViews>
    <sheetView workbookViewId="0">
      <selection activeCell="F6" sqref="F6"/>
    </sheetView>
  </sheetViews>
  <sheetFormatPr defaultRowHeight="14.4" x14ac:dyDescent="0.3"/>
  <cols>
    <col min="2" max="2" width="13.44140625" customWidth="1"/>
    <col min="3" max="3" width="22.33203125" customWidth="1"/>
    <col min="4" max="4" width="11.6640625" customWidth="1"/>
    <col min="5" max="5" width="18.88671875" bestFit="1" customWidth="1"/>
    <col min="7" max="9" width="13.88671875" customWidth="1"/>
  </cols>
  <sheetData>
    <row r="1" spans="1:9" x14ac:dyDescent="0.3">
      <c r="A1" s="5" t="s">
        <v>7</v>
      </c>
      <c r="B1" s="5" t="s">
        <v>8</v>
      </c>
      <c r="C1" s="5" t="s">
        <v>9</v>
      </c>
      <c r="D1" s="5" t="s">
        <v>10</v>
      </c>
      <c r="E1" s="5" t="s">
        <v>11</v>
      </c>
      <c r="F1" s="6" t="s">
        <v>15</v>
      </c>
      <c r="G1" s="6" t="s">
        <v>16</v>
      </c>
      <c r="H1" s="6" t="s">
        <v>17</v>
      </c>
      <c r="I1" s="6" t="s">
        <v>18</v>
      </c>
    </row>
    <row r="2" spans="1:9" x14ac:dyDescent="0.3">
      <c r="A2" s="2">
        <v>46048</v>
      </c>
      <c r="B2">
        <v>398</v>
      </c>
      <c r="C2" s="3">
        <v>64000</v>
      </c>
      <c r="D2" t="s">
        <v>12</v>
      </c>
      <c r="E2" t="s">
        <v>13</v>
      </c>
      <c r="F2" s="7">
        <f>IFERROR(B2/$I2,0)</f>
        <v>23.411764705882351</v>
      </c>
      <c r="G2" s="7">
        <f>IFERROR(D2/$H2,0)</f>
        <v>0</v>
      </c>
      <c r="H2">
        <f>COUNTIFS(Calendar!$B:$B,"Weekday",Calendar!$A:$A,"&gt;="&amp;DATE(2026,ROW(A2)-1,1),Calendar!$A:$A,"&lt;"&amp;EOMONTH(DATE(2026,ROW(A2)-1,1),0)+1)</f>
        <v>21</v>
      </c>
      <c r="I2">
        <f>COUNTIFS(Calendar!$D:$D,10,Calendar!$A:$A,"&gt;="&amp;DATE(2026,ROW(A2)-1,1),Calendar!$A:$A,"&lt;"&amp;EOMONTH(DATE(2026,ROW(A2)-1,1),0)+1)</f>
        <v>17</v>
      </c>
    </row>
    <row r="3" spans="1:9" x14ac:dyDescent="0.3">
      <c r="A3" s="2">
        <v>46079</v>
      </c>
      <c r="B3">
        <v>398</v>
      </c>
      <c r="C3" s="3">
        <v>64000</v>
      </c>
      <c r="D3" t="s">
        <v>12</v>
      </c>
      <c r="E3" t="s">
        <v>13</v>
      </c>
      <c r="F3" s="7">
        <f t="shared" ref="F3:F13" si="0">IFERROR(B3/$I3,0)</f>
        <v>26.533333333333335</v>
      </c>
      <c r="G3" s="7">
        <f t="shared" ref="G3:G13" si="1">IFERROR(D3/$H3,0)</f>
        <v>0</v>
      </c>
      <c r="H3">
        <f>COUNTIFS(Calendar!$B:$B,"Weekday",Calendar!$A:$A,"&gt;="&amp;DATE(2026,ROW(A3)-1,1),Calendar!$A:$A,"&lt;"&amp;EOMONTH(DATE(2026,ROW(A3)-1,1),0)+1)</f>
        <v>19</v>
      </c>
      <c r="I3">
        <f>COUNTIFS(Calendar!$D:$D,10,Calendar!$A:$A,"&gt;="&amp;DATE(2026,ROW(A3)-1,1),Calendar!$A:$A,"&lt;"&amp;EOMONTH(DATE(2026,ROW(A3)-1,1),0)+1)</f>
        <v>15</v>
      </c>
    </row>
    <row r="4" spans="1:9" x14ac:dyDescent="0.3">
      <c r="A4" s="2">
        <v>46107</v>
      </c>
      <c r="B4">
        <v>796</v>
      </c>
      <c r="C4" s="3">
        <v>128000</v>
      </c>
      <c r="D4" s="4">
        <v>2955</v>
      </c>
      <c r="E4" s="3">
        <v>233000</v>
      </c>
      <c r="F4" s="7">
        <f t="shared" si="0"/>
        <v>44.222222222222221</v>
      </c>
      <c r="G4" s="7">
        <f t="shared" si="1"/>
        <v>134.31818181818181</v>
      </c>
      <c r="H4">
        <f>COUNTIFS(Calendar!$B:$B,"Weekday",Calendar!$A:$A,"&gt;="&amp;DATE(2026,ROW(A4)-1,1),Calendar!$A:$A,"&lt;"&amp;EOMONTH(DATE(2026,ROW(A4)-1,1),0)+1)</f>
        <v>22</v>
      </c>
      <c r="I4">
        <f>COUNTIFS(Calendar!$D:$D,10,Calendar!$A:$A,"&gt;="&amp;DATE(2026,ROW(A4)-1,1),Calendar!$A:$A,"&lt;"&amp;EOMONTH(DATE(2026,ROW(A4)-1,1),0)+1)</f>
        <v>18</v>
      </c>
    </row>
    <row r="5" spans="1:9" x14ac:dyDescent="0.3">
      <c r="A5" s="2">
        <v>46138</v>
      </c>
      <c r="B5">
        <v>796</v>
      </c>
      <c r="C5" s="3">
        <v>128000</v>
      </c>
      <c r="D5" s="4">
        <v>3444</v>
      </c>
      <c r="E5" s="3">
        <v>273000</v>
      </c>
      <c r="F5" s="7">
        <f t="shared" si="0"/>
        <v>41.89473684210526</v>
      </c>
      <c r="G5" s="7">
        <f t="shared" si="1"/>
        <v>164</v>
      </c>
      <c r="H5">
        <f>COUNTIFS(Calendar!$B:$B,"Weekday",Calendar!$A:$A,"&gt;="&amp;DATE(2026,ROW(A5)-1,1),Calendar!$A:$A,"&lt;"&amp;EOMONTH(DATE(2026,ROW(A5)-1,1),0)+1)</f>
        <v>21</v>
      </c>
      <c r="I5">
        <f>COUNTIFS(Calendar!$D:$D,10,Calendar!$A:$A,"&gt;="&amp;DATE(2026,ROW(A5)-1,1),Calendar!$A:$A,"&lt;"&amp;EOMONTH(DATE(2026,ROW(A5)-1,1),0)+1)</f>
        <v>19</v>
      </c>
    </row>
    <row r="6" spans="1:9" x14ac:dyDescent="0.3">
      <c r="A6" s="2">
        <v>46168</v>
      </c>
      <c r="B6" s="4">
        <v>1195</v>
      </c>
      <c r="C6" s="3">
        <v>192000</v>
      </c>
      <c r="D6" s="4">
        <v>3951</v>
      </c>
      <c r="E6" s="3">
        <v>326000</v>
      </c>
      <c r="F6" s="7">
        <f t="shared" si="0"/>
        <v>70.294117647058826</v>
      </c>
      <c r="G6" s="7">
        <f t="shared" si="1"/>
        <v>197.55</v>
      </c>
      <c r="H6">
        <f>COUNTIFS(Calendar!$B:$B,"Weekday",Calendar!$A:$A,"&gt;="&amp;DATE(2026,ROW(A6)-1,1),Calendar!$A:$A,"&lt;"&amp;EOMONTH(DATE(2026,ROW(A6)-1,1),0)+1)</f>
        <v>20</v>
      </c>
      <c r="I6">
        <f>COUNTIFS(Calendar!$D:$D,10,Calendar!$A:$A,"&gt;="&amp;DATE(2026,ROW(A6)-1,1),Calendar!$A:$A,"&lt;"&amp;EOMONTH(DATE(2026,ROW(A6)-1,1),0)+1)</f>
        <v>17</v>
      </c>
    </row>
    <row r="7" spans="1:9" x14ac:dyDescent="0.3">
      <c r="A7" s="2">
        <v>46199</v>
      </c>
      <c r="B7" s="4">
        <v>1195</v>
      </c>
      <c r="C7" s="3">
        <v>192000</v>
      </c>
      <c r="D7" s="4">
        <v>3999</v>
      </c>
      <c r="E7" s="3">
        <v>319000</v>
      </c>
      <c r="F7" s="7">
        <f t="shared" si="0"/>
        <v>66.388888888888886</v>
      </c>
      <c r="G7" s="7">
        <f t="shared" si="1"/>
        <v>181.77272727272728</v>
      </c>
      <c r="H7">
        <f>COUNTIFS(Calendar!$B:$B,"Weekday",Calendar!$A:$A,"&gt;="&amp;DATE(2026,ROW(A7)-1,1),Calendar!$A:$A,"&lt;"&amp;EOMONTH(DATE(2026,ROW(A7)-1,1),0)+1)</f>
        <v>22</v>
      </c>
      <c r="I7">
        <f>COUNTIFS(Calendar!$D:$D,10,Calendar!$A:$A,"&gt;="&amp;DATE(2026,ROW(A7)-1,1),Calendar!$A:$A,"&lt;"&amp;EOMONTH(DATE(2026,ROW(A7)-1,1),0)+1)</f>
        <v>18</v>
      </c>
    </row>
    <row r="8" spans="1:9" x14ac:dyDescent="0.3">
      <c r="A8" s="2">
        <v>46229</v>
      </c>
      <c r="B8" s="4">
        <v>1095</v>
      </c>
      <c r="C8" s="3">
        <v>176000</v>
      </c>
      <c r="D8" s="4">
        <v>3660</v>
      </c>
      <c r="E8" s="3">
        <v>291000</v>
      </c>
      <c r="F8" s="7">
        <f t="shared" si="0"/>
        <v>57.631578947368418</v>
      </c>
      <c r="G8" s="7">
        <f t="shared" si="1"/>
        <v>166.36363636363637</v>
      </c>
      <c r="H8">
        <f>COUNTIFS(Calendar!$B:$B,"Weekday",Calendar!$A:$A,"&gt;="&amp;DATE(2026,ROW(A8)-1,1),Calendar!$A:$A,"&lt;"&amp;EOMONTH(DATE(2026,ROW(A8)-1,1),0)+1)</f>
        <v>22</v>
      </c>
      <c r="I8">
        <f>COUNTIFS(Calendar!$D:$D,10,Calendar!$A:$A,"&gt;="&amp;DATE(2026,ROW(A8)-1,1),Calendar!$A:$A,"&lt;"&amp;EOMONTH(DATE(2026,ROW(A8)-1,1),0)+1)</f>
        <v>19</v>
      </c>
    </row>
    <row r="9" spans="1:9" x14ac:dyDescent="0.3">
      <c r="A9" s="2">
        <v>46260</v>
      </c>
      <c r="B9" s="4">
        <v>1095</v>
      </c>
      <c r="C9" s="3">
        <v>176000</v>
      </c>
      <c r="D9" s="4">
        <v>3137</v>
      </c>
      <c r="E9" s="3">
        <v>248000</v>
      </c>
      <c r="F9" s="7">
        <f t="shared" si="0"/>
        <v>60.833333333333336</v>
      </c>
      <c r="G9" s="7">
        <f t="shared" si="1"/>
        <v>156.85</v>
      </c>
      <c r="H9">
        <f>COUNTIFS(Calendar!$B:$B,"Weekday",Calendar!$A:$A,"&gt;="&amp;DATE(2026,ROW(A9)-1,1),Calendar!$A:$A,"&lt;"&amp;EOMONTH(DATE(2026,ROW(A9)-1,1),0)+1)</f>
        <v>20</v>
      </c>
      <c r="I9">
        <f>COUNTIFS(Calendar!$D:$D,10,Calendar!$A:$A,"&gt;="&amp;DATE(2026,ROW(A9)-1,1),Calendar!$A:$A,"&lt;"&amp;EOMONTH(DATE(2026,ROW(A9)-1,1),0)+1)</f>
        <v>18</v>
      </c>
    </row>
    <row r="10" spans="1:9" x14ac:dyDescent="0.3">
      <c r="A10" s="2">
        <v>46291</v>
      </c>
      <c r="B10">
        <v>996</v>
      </c>
      <c r="C10" s="3">
        <v>160000</v>
      </c>
      <c r="D10" s="4">
        <v>3294</v>
      </c>
      <c r="E10" s="3">
        <v>261000</v>
      </c>
      <c r="F10" s="7">
        <f t="shared" si="0"/>
        <v>55.333333333333336</v>
      </c>
      <c r="G10" s="7">
        <f t="shared" si="1"/>
        <v>164.7</v>
      </c>
      <c r="H10">
        <f>COUNTIFS(Calendar!$B:$B,"Weekday",Calendar!$A:$A,"&gt;="&amp;DATE(2026,ROW(A10)-1,1),Calendar!$A:$A,"&lt;"&amp;EOMONTH(DATE(2026,ROW(A10)-1,1),0)+1)</f>
        <v>20</v>
      </c>
      <c r="I10">
        <f>COUNTIFS(Calendar!$D:$D,10,Calendar!$A:$A,"&gt;="&amp;DATE(2026,ROW(A10)-1,1),Calendar!$A:$A,"&lt;"&amp;EOMONTH(DATE(2026,ROW(A10)-1,1),0)+1)</f>
        <v>18</v>
      </c>
    </row>
    <row r="11" spans="1:9" x14ac:dyDescent="0.3">
      <c r="A11" s="2">
        <v>46321</v>
      </c>
      <c r="B11">
        <v>796</v>
      </c>
      <c r="C11" s="3">
        <v>128000</v>
      </c>
      <c r="D11" s="4">
        <v>3596</v>
      </c>
      <c r="E11" s="3">
        <v>285000</v>
      </c>
      <c r="F11" s="7">
        <f t="shared" si="0"/>
        <v>44.222222222222221</v>
      </c>
      <c r="G11" s="7">
        <f t="shared" si="1"/>
        <v>171.23809523809524</v>
      </c>
      <c r="H11">
        <f>COUNTIFS(Calendar!$B:$B,"Weekday",Calendar!$A:$A,"&gt;="&amp;DATE(2026,ROW(A11)-1,1),Calendar!$A:$A,"&lt;"&amp;EOMONTH(DATE(2026,ROW(A11)-1,1),0)+1)</f>
        <v>21</v>
      </c>
      <c r="I11">
        <f>COUNTIFS(Calendar!$D:$D,10,Calendar!$A:$A,"&gt;="&amp;DATE(2026,ROW(A11)-1,1),Calendar!$A:$A,"&lt;"&amp;EOMONTH(DATE(2026,ROW(A11)-1,1),0)+1)</f>
        <v>18</v>
      </c>
    </row>
    <row r="12" spans="1:9" x14ac:dyDescent="0.3">
      <c r="A12" s="2">
        <v>46352</v>
      </c>
      <c r="B12">
        <v>796</v>
      </c>
      <c r="C12" s="3">
        <v>128000</v>
      </c>
      <c r="D12" s="4">
        <v>2724</v>
      </c>
      <c r="E12" s="3">
        <v>210000</v>
      </c>
      <c r="F12" s="7">
        <f t="shared" si="0"/>
        <v>44.222222222222221</v>
      </c>
      <c r="G12" s="7">
        <f t="shared" si="1"/>
        <v>136.19999999999999</v>
      </c>
      <c r="H12">
        <f>COUNTIFS(Calendar!$B:$B,"Weekday",Calendar!$A:$A,"&gt;="&amp;DATE(2026,ROW(A12)-1,1),Calendar!$A:$A,"&lt;"&amp;EOMONTH(DATE(2026,ROW(A12)-1,1),0)+1)</f>
        <v>20</v>
      </c>
      <c r="I12">
        <f>COUNTIFS(Calendar!$D:$D,10,Calendar!$A:$A,"&gt;="&amp;DATE(2026,ROW(A12)-1,1),Calendar!$A:$A,"&lt;"&amp;EOMONTH(DATE(2026,ROW(A12)-1,1),0)+1)</f>
        <v>18</v>
      </c>
    </row>
    <row r="13" spans="1:9" x14ac:dyDescent="0.3">
      <c r="A13" s="2">
        <v>46382</v>
      </c>
      <c r="B13">
        <v>398</v>
      </c>
      <c r="C13" s="3">
        <v>64000</v>
      </c>
      <c r="D13">
        <v>144</v>
      </c>
      <c r="E13" s="3">
        <v>11000</v>
      </c>
      <c r="F13" s="7">
        <f t="shared" si="0"/>
        <v>20.94736842105263</v>
      </c>
      <c r="G13" s="7">
        <f t="shared" si="1"/>
        <v>6.5454545454545459</v>
      </c>
      <c r="H13">
        <f>COUNTIFS(Calendar!$B:$B,"Weekday",Calendar!$A:$A,"&gt;="&amp;DATE(2026,ROW(A13)-1,1),Calendar!$A:$A,"&lt;"&amp;EOMONTH(DATE(2026,ROW(A13)-1,1),0)+1)</f>
        <v>22</v>
      </c>
      <c r="I13">
        <f>COUNTIFS(Calendar!$D:$D,10,Calendar!$A:$A,"&gt;="&amp;DATE(2026,ROW(A13)-1,1),Calendar!$A:$A,"&lt;"&amp;EOMONTH(DATE(2026,ROW(A13)-1,1),0)+1)</f>
        <v>19</v>
      </c>
    </row>
    <row r="14" spans="1:9" x14ac:dyDescent="0.3">
      <c r="B14">
        <f>SUM(B2:B13)</f>
        <v>9954</v>
      </c>
      <c r="D14" s="4">
        <f>SUM(D4:D13)</f>
        <v>30904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C98A7E025C4B4AA119DC12A97DF950" ma:contentTypeVersion="16" ma:contentTypeDescription="Create a new document." ma:contentTypeScope="" ma:versionID="e580abda3f27b7a3df80052c81afacc9">
  <xsd:schema xmlns:xsd="http://www.w3.org/2001/XMLSchema" xmlns:xs="http://www.w3.org/2001/XMLSchema" xmlns:p="http://schemas.microsoft.com/office/2006/metadata/properties" xmlns:ns3="9138db1f-fdbf-4a5b-9240-951b875bc183" xmlns:ns4="876a559d-2cdb-4aa1-a31e-65b2b8aaa1be" targetNamespace="http://schemas.microsoft.com/office/2006/metadata/properties" ma:root="true" ma:fieldsID="158b8c5f1b50f604e7ca3df8dd689cd4" ns3:_="" ns4:_="">
    <xsd:import namespace="9138db1f-fdbf-4a5b-9240-951b875bc183"/>
    <xsd:import namespace="876a559d-2cdb-4aa1-a31e-65b2b8aaa1b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OCR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38db1f-fdbf-4a5b-9240-951b875bc18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6a559d-2cdb-4aa1-a31e-65b2b8aaa1be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138db1f-fdbf-4a5b-9240-951b875bc183" xsi:nil="true"/>
  </documentManagement>
</p:properties>
</file>

<file path=customXml/itemProps1.xml><?xml version="1.0" encoding="utf-8"?>
<ds:datastoreItem xmlns:ds="http://schemas.openxmlformats.org/officeDocument/2006/customXml" ds:itemID="{EE61B2F3-0E1D-4C52-9DDA-09BEA351A73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138db1f-fdbf-4a5b-9240-951b875bc183"/>
    <ds:schemaRef ds:uri="876a559d-2cdb-4aa1-a31e-65b2b8aaa1b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537A442-3338-460B-BBE0-288DB688CEE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3A1D03D-1061-495A-8D8D-4989EC37B77C}">
  <ds:schemaRefs>
    <ds:schemaRef ds:uri="http://purl.org/dc/elements/1.1/"/>
    <ds:schemaRef ds:uri="http://purl.org/dc/terms/"/>
    <ds:schemaRef ds:uri="http://schemas.microsoft.com/office/2006/documentManagement/types"/>
    <ds:schemaRef ds:uri="876a559d-2cdb-4aa1-a31e-65b2b8aaa1be"/>
    <ds:schemaRef ds:uri="9138db1f-fdbf-4a5b-9240-951b875bc183"/>
    <ds:schemaRef ds:uri="http://www.w3.org/XML/1998/namespace"/>
    <ds:schemaRef ds:uri="http://schemas.openxmlformats.org/package/2006/metadata/core-properties"/>
    <ds:schemaRef ds:uri="http://schemas.microsoft.com/office/2006/metadata/properties"/>
    <ds:schemaRef ds:uri="http://purl.org/dc/dcmitype/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Calendar</vt:lpstr>
      <vt:lpstr>targets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Winckers</dc:creator>
  <cp:lastModifiedBy>Paul Winckers</cp:lastModifiedBy>
  <dcterms:created xsi:type="dcterms:W3CDTF">2026-02-23T15:00:08Z</dcterms:created>
  <dcterms:modified xsi:type="dcterms:W3CDTF">2026-02-23T16:33:20Z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0x01010037C98A7E025C4B4AA119DC12A97DF950</vt:lpwstr>
  </property>
</Properties>
</file>